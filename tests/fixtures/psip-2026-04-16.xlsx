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IP Monitoring Form" sheetId="1" r:id="rId4"/>
    <sheet state="visible" name="UKEF - 342" sheetId="2" r:id="rId5"/>
    <sheet state="visible" name="IDB -343" sheetId="3" r:id="rId6"/>
    <sheet state="visible" name="CDB - 343" sheetId="4" r:id="rId7"/>
    <sheet state="visible" name="JICA - 343" sheetId="5" r:id="rId8"/>
  </sheets>
  <definedNames/>
  <calcPr/>
  <extLst>
    <ext uri="GoogleSheetsCustomDataVersion2">
      <go:sheetsCustomData xmlns:go="http://customooxmlschemas.google.com/" r:id="rId9" roundtripDataChecksum="+rkv7j0XcV80VlFbRmkBE2fosaKgujtY6QjoAXog2uE="/>
    </ext>
  </extLst>
</workbook>
</file>

<file path=xl/sharedStrings.xml><?xml version="1.0" encoding="utf-8"?>
<sst xmlns="http://schemas.openxmlformats.org/spreadsheetml/2006/main" count="1121" uniqueCount="501">
  <si>
    <t>NO.</t>
  </si>
  <si>
    <t>AGENCY</t>
  </si>
  <si>
    <t>2026 Budget</t>
  </si>
  <si>
    <t xml:space="preserve">Method of Procurement </t>
  </si>
  <si>
    <t>PROCUREMENT TIMELINE (Actual Dates)</t>
  </si>
  <si>
    <t>Tender Status</t>
  </si>
  <si>
    <t>IMPLEMENTATION</t>
  </si>
  <si>
    <t>Remarks</t>
  </si>
  <si>
    <t>Tender Advertise</t>
  </si>
  <si>
    <t>Tender Closed</t>
  </si>
  <si>
    <t>Date Eval Sent for Approval:</t>
  </si>
  <si>
    <t>Date of Award</t>
  </si>
  <si>
    <t>Contractor / Supplier</t>
  </si>
  <si>
    <t>Contract Sum</t>
  </si>
  <si>
    <t>Exp. To Date</t>
  </si>
  <si>
    <r>
      <rPr>
        <rFont val="Arial"/>
        <b/>
        <color theme="1"/>
        <sz val="9.0"/>
      </rPr>
      <t xml:space="preserve">Duration
</t>
    </r>
    <r>
      <rPr>
        <rFont val="Arial"/>
        <b val="0"/>
        <i/>
        <color rgb="FF000000"/>
        <sz val="9.0"/>
      </rPr>
      <t>months</t>
    </r>
  </si>
  <si>
    <t>Start Date</t>
  </si>
  <si>
    <t>End Date</t>
  </si>
  <si>
    <t>Status 
%</t>
  </si>
  <si>
    <t>MTB / RTB</t>
  </si>
  <si>
    <t>NPTAB</t>
  </si>
  <si>
    <t>3 Decimal Places</t>
  </si>
  <si>
    <t>Example: 1-Jan-2026</t>
  </si>
  <si>
    <t>Day - Month - Year</t>
  </si>
  <si>
    <t xml:space="preserve">MINISTRY OF PUBLIC UTILITIES AND AVIATION </t>
  </si>
  <si>
    <t>Policy Development &amp; Administration</t>
  </si>
  <si>
    <t xml:space="preserve">Furniture and Equipment </t>
  </si>
  <si>
    <t>2 Desktop Computers &amp; Accessories</t>
  </si>
  <si>
    <t>Quotation</t>
  </si>
  <si>
    <t>Design</t>
  </si>
  <si>
    <t>2 Desktop Printers</t>
  </si>
  <si>
    <t>2 Laptop Computers</t>
  </si>
  <si>
    <t>4 Office Chairs</t>
  </si>
  <si>
    <t>1 Heavy Duty Photocopier</t>
  </si>
  <si>
    <t>3 Office Desk</t>
  </si>
  <si>
    <t xml:space="preserve">Electricity Service </t>
  </si>
  <si>
    <t>Lethem Power Company</t>
  </si>
  <si>
    <t xml:space="preserve">General uppgrade of distribution network in Kumu, Moco Moco &amp; St. Ignatius. </t>
  </si>
  <si>
    <t>Open Tender</t>
  </si>
  <si>
    <t>31/03/26</t>
  </si>
  <si>
    <t>Evaluation</t>
  </si>
  <si>
    <t>Estimated Contract duration</t>
  </si>
  <si>
    <t>Installation of new MV switchgear.</t>
  </si>
  <si>
    <t xml:space="preserve">Hinterland Electrification </t>
  </si>
  <si>
    <t xml:space="preserve">Installation of new LV switchgear for power stations at Port Kaituma. </t>
  </si>
  <si>
    <t>17/03/2026</t>
  </si>
  <si>
    <t>Installation of 1100kW generator at Mabaruma power station.</t>
  </si>
  <si>
    <t>Installation of 1100kW generator at Kwakwani power station.</t>
  </si>
  <si>
    <t>Extension of network to Citrus Groove &amp; 1 Mile old road, Port Kaituma.</t>
  </si>
  <si>
    <t>Awaiting Award</t>
  </si>
  <si>
    <t>Extension of network to Campbelltown and Airstrip area in Mahdia.</t>
  </si>
  <si>
    <t>Continue general upgrade of electricity network at Matthew's Ridge.</t>
  </si>
  <si>
    <t>See Remarks</t>
  </si>
  <si>
    <t>To be re-tendered after bids significantly exceeded budget.</t>
  </si>
  <si>
    <t xml:space="preserve">Upgrade of primary circuit to 3-phase from Hosororo to Wauna </t>
  </si>
  <si>
    <t>Installation of 500kVA power transformer, and replacement of aged structures in Moruca.</t>
  </si>
  <si>
    <t>Installation of two 450kVA generators with related switchgear for Moruca</t>
  </si>
  <si>
    <t>Double cab utility trucks for Mahdia, Port Kaituma &amp; Kwakwani..</t>
  </si>
  <si>
    <t xml:space="preserve">4x4 All terrain vehicles for HECI engineers. </t>
  </si>
  <si>
    <t>Restrictive</t>
  </si>
  <si>
    <t>Award</t>
  </si>
  <si>
    <t>Beharry Automotive LTD</t>
  </si>
  <si>
    <t>Payment to B&amp;J Civil Works of retention for defects liability period for the Kato project.</t>
  </si>
  <si>
    <t>Nil</t>
  </si>
  <si>
    <t>Electricity Expansion Programme</t>
  </si>
  <si>
    <t>Rollover:</t>
  </si>
  <si>
    <t>EPC - Double Circuit 69kV River Crossing Underground Transmission Line - HDD between V/Hoop and Kingston Substations</t>
  </si>
  <si>
    <t>Sole Source</t>
  </si>
  <si>
    <t>Rollover</t>
  </si>
  <si>
    <t>Capital Edge Partners Inc.</t>
  </si>
  <si>
    <t>Executing Detailed Engineering Works (Electrical &amp; Civil Designs)</t>
  </si>
  <si>
    <t xml:space="preserve">Substation Expansion for 69kV HDD Submarine Cable in the Demerara River </t>
  </si>
  <si>
    <t>Pending NPTAB's Appointment of Eval Committe</t>
  </si>
  <si>
    <t>Construction of total 193km/28x 13.8 kV feeders and supply of distribution reinforcement equipment</t>
  </si>
  <si>
    <t>China National Machinery Import and Export Corporation</t>
  </si>
  <si>
    <t>Supply of 2x 35 MVA, 69/13.8 kV Mobile Substations.</t>
  </si>
  <si>
    <t>FIX-IT Depot</t>
  </si>
  <si>
    <t>FAT for Mobile Substations to be executed within April 2026.</t>
  </si>
  <si>
    <t>Construction of total 42 km/5x 69 kV Lines, four (4) 69/13.8 kV Substations and 17 feeders ~6km per feeder</t>
  </si>
  <si>
    <t>Kalpataru Projects International Limited</t>
  </si>
  <si>
    <t>Procurement: 14 items awarded out of 42 tracked.
Engineering Design: 54 submitted out of 532 submittals</t>
  </si>
  <si>
    <t>Supply and Installation of Advanced Metering Infrastructure (AMI) and 20,000 AMI Meters</t>
  </si>
  <si>
    <t>FAT for AMI Meters &amp; Datacentre to be executed within April 2026.</t>
  </si>
  <si>
    <t>Upgrade and Expansion of two (2) 69/13.8 kV Substations</t>
  </si>
  <si>
    <t>EPC - IDP Phase 2: Construction of Substations, Transmission Lines and Reactive Power Reinforcements within Reg. Nos. 4 &amp; 6</t>
  </si>
  <si>
    <t xml:space="preserve">	PowerChina International Group Limited</t>
  </si>
  <si>
    <t>Procurement: 14 items awarded out of 42 tracked.
Engineering Design: 330 submitted out of 919 submittals
Civil Works/Construction: 13% for transmission lines and 0% for substations</t>
  </si>
  <si>
    <t>EPC - IDP Phase 2: Construction of Substations, Transmission Lines and Reactive Power Reinforcements within Reg. No. 5</t>
  </si>
  <si>
    <t>Procurement: 42 items awarded out of 45 tracked.
Engineering Design: 256 submitted out of 325 submittals
Civil Works/Construction: 10% for transmission lines and 0% for substations</t>
  </si>
  <si>
    <t>Construction of 69kV Double Circuit Transmission Lined Between New Georgetown and Sophia Substations</t>
  </si>
  <si>
    <t>UCC - KPS JV</t>
  </si>
  <si>
    <t>Supply and Installation of 30MW/60MWh Battery Energy Storage Systems</t>
  </si>
  <si>
    <t>To conclude Contract Document</t>
  </si>
  <si>
    <t xml:space="preserve">IEH - Project Management Consultancy &amp; Owner's Engineering Services </t>
  </si>
  <si>
    <t xml:space="preserve">Inter Energy Holdings UK Limited </t>
  </si>
  <si>
    <t>Project Component No. 1: 19.86%
Project Component No. 2: 8%
Project Component No. 3: 0 %</t>
  </si>
  <si>
    <t>ITSS: GTE System's Integration with GNCC and DBIS</t>
  </si>
  <si>
    <t>Integrated Telecommunications Services and Solutions Inc.</t>
  </si>
  <si>
    <t>Awaiting KPIL to complete works within new substation control buildings.</t>
  </si>
  <si>
    <t>SEL: GTE Substation Integration with GNCC and DBIS</t>
  </si>
  <si>
    <t>Schweitzer Engineering Laboratories</t>
  </si>
  <si>
    <t>CMC-SIFANG: GTE Substation Integration with GNCC and DBIS</t>
  </si>
  <si>
    <t>Awaiting Advance Payment to be made to Contractor.</t>
  </si>
  <si>
    <t>Power Plant Integration with GNCC</t>
  </si>
  <si>
    <t>Land Acquisition</t>
  </si>
  <si>
    <t>Acquisition and Crop compensation ongoing</t>
  </si>
  <si>
    <t>New:</t>
  </si>
  <si>
    <t>Repairs to Bartica BESS</t>
  </si>
  <si>
    <t>Advertised</t>
  </si>
  <si>
    <t>Closing Date: 30th April 2026</t>
  </si>
  <si>
    <t>ADSS Fiber Optic Cable Replacement</t>
  </si>
  <si>
    <t>To be executed in-house by the System Control &amp; Operations Department, GPL.</t>
  </si>
  <si>
    <t>Sophia - Upgraded to New Sophia - 69 kV - L1/L2  [Construction of a new 69kV T-Line - to increase line caapcity]</t>
  </si>
  <si>
    <t xml:space="preserve">Incorprated into to EPC+F Project. This project includes for the construction of a new substation at Sophia. </t>
  </si>
  <si>
    <t>Phase 2-GNCC/Smart Grid: Preparation of RFP Package</t>
  </si>
  <si>
    <t>Awaiting Approval from NPTAB relative to letter to sole source.</t>
  </si>
  <si>
    <t>Leguan Power Plant Switchgear Upgrade</t>
  </si>
  <si>
    <t>To be completed</t>
  </si>
  <si>
    <t>Unserved Areas Electrification Programme</t>
  </si>
  <si>
    <t>Pending NPTAB's Approval of Tender Document</t>
  </si>
  <si>
    <t xml:space="preserve">Leguan and Wakenaam 13.8 kV Interconnection </t>
  </si>
  <si>
    <t>Engineering, Procurement and Construction (EPC) Services for the Upgrade of 13.8kV Switchgears at DP2 and DP3 and Tie Lines between stations.</t>
  </si>
  <si>
    <t>Awaiting NPTAB's Approval of Tender Document for Publishing</t>
  </si>
  <si>
    <t>Water Services</t>
  </si>
  <si>
    <t>Hinterland Water Supply</t>
  </si>
  <si>
    <t>H-001</t>
  </si>
  <si>
    <t>Procurement of Photovoltaic systems, electromechanical equipment, pipes, fittings, spares and accessories for new water supply systems</t>
  </si>
  <si>
    <t>Awaiting NPTAB award.</t>
  </si>
  <si>
    <t>Supply and delivery of Wellmaster Flexible Rising Mains</t>
  </si>
  <si>
    <t>Angus Flexible Pipelines</t>
  </si>
  <si>
    <t>H-002</t>
  </si>
  <si>
    <t>Procurement of Well Drilling materials to facilitate drilling of wells in 2026</t>
  </si>
  <si>
    <t>Procurement ongoing</t>
  </si>
  <si>
    <t>Supply and delivery of PVC Well casings</t>
  </si>
  <si>
    <t>Boode b.v</t>
  </si>
  <si>
    <t xml:space="preserve">Contract signed and awaitng delivery. </t>
  </si>
  <si>
    <t>PO-3498</t>
  </si>
  <si>
    <t>Supply and delivery of 4'' Hammer with 4.5'' Button Bits</t>
  </si>
  <si>
    <t>R. Kissoon Contracting Services</t>
  </si>
  <si>
    <t>Awaiting delivery</t>
  </si>
  <si>
    <t>PO-3497</t>
  </si>
  <si>
    <t xml:space="preserve">Supply and delivery of Bentonite-Quick Gel </t>
  </si>
  <si>
    <t>A. Ahmad Hydraulics</t>
  </si>
  <si>
    <t>H-003</t>
  </si>
  <si>
    <t>Upgrade of Matthew's Ridge Water Supply System</t>
  </si>
  <si>
    <t>na</t>
  </si>
  <si>
    <t>RDC 1</t>
  </si>
  <si>
    <t>MOU signed with RDC 1 , Payment in proecess</t>
  </si>
  <si>
    <t>H-004</t>
  </si>
  <si>
    <t>Rehabilitation works on Port Kaituma Water Supply System</t>
  </si>
  <si>
    <t>H-005</t>
  </si>
  <si>
    <t>Rehabilitation and upgrade of Mabaruma Pump Stations</t>
  </si>
  <si>
    <t>Evaluation ongoing at NPTAB</t>
  </si>
  <si>
    <t>H-006</t>
  </si>
  <si>
    <t xml:space="preserve">Installation of Hybrid PV Battery Systems in Para, Waramuri, Baramita (2), Arakaka 5 Miles, Kwebanna, Jawalla, Isseneru, other communituies </t>
  </si>
  <si>
    <t>H-007</t>
  </si>
  <si>
    <t>Installation of elevated trestle in Kangaruma</t>
  </si>
  <si>
    <t>Joshi Construction</t>
  </si>
  <si>
    <t>Completed</t>
  </si>
  <si>
    <t>H-008</t>
  </si>
  <si>
    <t>Upgrade of Water Supply System at Wayaleng, Upper Mazaruni, Region 7</t>
  </si>
  <si>
    <t xml:space="preserve">Fazam Future Builders </t>
  </si>
  <si>
    <t xml:space="preserve">Contract being finalized </t>
  </si>
  <si>
    <t>H-009</t>
  </si>
  <si>
    <t>Drilling of well in Mahdia, Rehabilitation of Salbora Catchment,transmission &amp; Discharge,  Region 8</t>
  </si>
  <si>
    <t>H-010</t>
  </si>
  <si>
    <t>Drilling of well in Paramakatoi, Region 8</t>
  </si>
  <si>
    <t>Expert Builders and Supplies Contrcators</t>
  </si>
  <si>
    <t>H-011</t>
  </si>
  <si>
    <t>Installation of Water supply system in section Micobie</t>
  </si>
  <si>
    <t>Monarch Investment</t>
  </si>
  <si>
    <t>Project is foe drilling of well at Waramadong; currently being evaluated at NPTAB. Contract being finalized .</t>
  </si>
  <si>
    <t>H-012</t>
  </si>
  <si>
    <t>Construction of new water supply systems in Hobodeiah, Red Hill, Kariako, Warapoka</t>
  </si>
  <si>
    <t>Drilling of Potable Wells at Warapoka and Kariako, Region # 1</t>
  </si>
  <si>
    <t>NP Contracting &amp; Transportation Services</t>
  </si>
  <si>
    <t>Drilling of Potable Wells at Red Hill and Hobodiah Region # 1</t>
  </si>
  <si>
    <t>H-013</t>
  </si>
  <si>
    <t>Construction of Office buildings in Mahdia &amp; Paramakatoi</t>
  </si>
  <si>
    <t>To be tendered</t>
  </si>
  <si>
    <t>H-014</t>
  </si>
  <si>
    <t>Procurement of ATVs and 4x4 vehicles</t>
  </si>
  <si>
    <t>Supply and delivery of ATVs</t>
  </si>
  <si>
    <t>B&amp;M Trading Enterprise</t>
  </si>
  <si>
    <t>Order placed, awaiting delivery</t>
  </si>
  <si>
    <t>Supply and delivery of Motor Cycles</t>
  </si>
  <si>
    <t>Marics &amp; Company Ltd</t>
  </si>
  <si>
    <t>H-015</t>
  </si>
  <si>
    <t>Project Administration and Institutional Strengthing</t>
  </si>
  <si>
    <t>Ongoing ; COWs and Village Councils and Training of CSOs and Hinterland staff</t>
  </si>
  <si>
    <t>H-016</t>
  </si>
  <si>
    <t>Installation of new water system Maloca Nova, Maruranau  (Southern Cluster and Eastern Cluster), Katoka, Kumu (Highway Cluster),  Yupukari  (El Dorado cluster),  Moco Moco Settlement,  Shea Village (Western Section), Toka Village ( Western Section), Meriwau</t>
  </si>
  <si>
    <t>H-017</t>
  </si>
  <si>
    <t>Drilling of well in Campbelltown, Region 8</t>
  </si>
  <si>
    <t>Fabra Enterprise</t>
  </si>
  <si>
    <t>H-018</t>
  </si>
  <si>
    <t xml:space="preserve">Installation of Gravity feed water supply system in Kato, Region 8 </t>
  </si>
  <si>
    <t>H-019</t>
  </si>
  <si>
    <t>Construction of new water supply systems in Bethany (Supenaam Creek), Sand Hills, Kimbia, Ebini, Hururu, Siparuta, Orealla, Moraikobai (Lower), Mashabo</t>
  </si>
  <si>
    <t>Coastal Water Supply</t>
  </si>
  <si>
    <t>C-001</t>
  </si>
  <si>
    <t xml:space="preserve">Construction of WTP - Hope </t>
  </si>
  <si>
    <t>Construction of Surface Water Treatment Plant at Hope, ECD - Lot 1</t>
  </si>
  <si>
    <t>Public Tender</t>
  </si>
  <si>
    <t>Yes</t>
  </si>
  <si>
    <t>Sigma Engineers Ltd. Inc.</t>
  </si>
  <si>
    <t>Project progressing as per contract</t>
  </si>
  <si>
    <t>Construction of Surface Water Treatment Plant at Hope, ECD - Lot 2</t>
  </si>
  <si>
    <t>S. Jagmohan Construction and General Supplies. Inc.</t>
  </si>
  <si>
    <t>New</t>
  </si>
  <si>
    <t>C-002</t>
  </si>
  <si>
    <t>Non Revenue Water programs</t>
  </si>
  <si>
    <t>Trench Crossing Repairs at Free and Easy to Schoonard, West Bank Demerara, Region No. 3</t>
  </si>
  <si>
    <t>Modification of Distribution Piping System in Region #3</t>
  </si>
  <si>
    <t>Installation of Valve, Flowmeter and Chambers at Nismes to Free and Easy</t>
  </si>
  <si>
    <t>C-003</t>
  </si>
  <si>
    <t xml:space="preserve">Transmission and Distributions - Hope </t>
  </si>
  <si>
    <t xml:space="preserve"> Installation of Transmission Network from Cove &amp; John to Cane Grove, East Coast Demerara, Region 4 (Lot 1: Proposed Water Treatment Plant to Hope Canal)</t>
  </si>
  <si>
    <t>Amic General Contracting Services</t>
  </si>
  <si>
    <t>Contractor mobilising</t>
  </si>
  <si>
    <t>Installation of Transmission Network from Cove &amp; John to Cane Grove, East Coast Demerara, Region no. 4 (Lot 2: Victoria to Hope Estates Road)</t>
  </si>
  <si>
    <t>Zeebo &amp; Sons Construction</t>
  </si>
  <si>
    <t>Installation of Transmission Network from Cove &amp; John to Cane Grove, East Coast Demerara, Region No. 4 (Lot 3: Hope Canal to Old &amp; New Road Intersection)</t>
  </si>
  <si>
    <t>Dave Construction &amp; Supply &amp; Establishment</t>
  </si>
  <si>
    <t xml:space="preserve"> Installation of Transmission Network from Cove &amp; John to Cane Grove, East Coast Demerara, Region No. 4 (Lot 4: Old &amp; New Road Intersection to Cambridge)</t>
  </si>
  <si>
    <t>Guybiz Establishment</t>
  </si>
  <si>
    <t xml:space="preserve"> Installation of Transmission Network from Cove &amp; John to Cane Grove, East Coast Demerara, Region No. 4. (Lot 5: Cambridge to Vereeniging </t>
  </si>
  <si>
    <t>Compass Industrial Sevices</t>
  </si>
  <si>
    <t>Contract awarded</t>
  </si>
  <si>
    <t xml:space="preserve"> Installation of Transmission Network from Cove &amp; John to Cane Grove, East Coast Demerara, Region No. 4. (Lot 6: Vereeniging to Cane Grove)</t>
  </si>
  <si>
    <t>DJ General Construction And Supplies</t>
  </si>
  <si>
    <t>Supply and Installation of 200mm Transmission &amp; 100mm Distribution Mains along Naamryck-Consservancy Road, Parika</t>
  </si>
  <si>
    <t>Bids opening 30 April 2026</t>
  </si>
  <si>
    <t>Supply and Installation of 250mm Transmission Mains at Tuschen, Region # 3</t>
  </si>
  <si>
    <t>C-004</t>
  </si>
  <si>
    <t>Gravity Filters -Diamond, Uitvlugt</t>
  </si>
  <si>
    <t>C-005</t>
  </si>
  <si>
    <t>Technical Support Consultancy Services for Coastal Water Treatment Plants</t>
  </si>
  <si>
    <t>C-006</t>
  </si>
  <si>
    <t>Surface WTP (Stewartville)</t>
  </si>
  <si>
    <t>C-007</t>
  </si>
  <si>
    <t>Surface WTP (La Bonne Intention)</t>
  </si>
  <si>
    <t>C-008</t>
  </si>
  <si>
    <t>Inline Filters -Providence, De Hoop, Mon Repos, Calcutta, Agricola, Coldingen and Annandale</t>
  </si>
  <si>
    <t>C-009</t>
  </si>
  <si>
    <t>Installation of Water Meters and Boxes:</t>
  </si>
  <si>
    <t>GWI 2026/CPA 576</t>
  </si>
  <si>
    <t>Caimraj Goolab</t>
  </si>
  <si>
    <t>GWI 2026/CPA 574</t>
  </si>
  <si>
    <t>Virjanand Ramlal</t>
  </si>
  <si>
    <t>GWI 2026/CPA 416</t>
  </si>
  <si>
    <t>Besham Deolall</t>
  </si>
  <si>
    <t>GWI 2026/CPA 543</t>
  </si>
  <si>
    <t>Keyon Boyce</t>
  </si>
  <si>
    <t>GWI 2026/CPA 567</t>
  </si>
  <si>
    <t>Ravindra Deonaraine</t>
  </si>
  <si>
    <t>GWI 2026/CPA 546</t>
  </si>
  <si>
    <t>Osprey Investment Inc.</t>
  </si>
  <si>
    <t>GWI 2026/CPA 544</t>
  </si>
  <si>
    <t>Romel Birkett</t>
  </si>
  <si>
    <t>GWI 2026/CPA 575</t>
  </si>
  <si>
    <t>AAA Rahman Inc.</t>
  </si>
  <si>
    <t>GWI 2026/CPA 452</t>
  </si>
  <si>
    <t>Azad Rahamat</t>
  </si>
  <si>
    <t>GWI 2026/CPA 450</t>
  </si>
  <si>
    <t>Roderic Carrington</t>
  </si>
  <si>
    <t>GWI 2026/CPA 449</t>
  </si>
  <si>
    <t>GWI 2026/CPA 483</t>
  </si>
  <si>
    <t>Ptolemy Hamlin</t>
  </si>
  <si>
    <t>GWI 2026/CPA 547</t>
  </si>
  <si>
    <t>Razia Sanicharra</t>
  </si>
  <si>
    <t>GWI 2026/CPA 568</t>
  </si>
  <si>
    <t>Kumar Narine</t>
  </si>
  <si>
    <t>GWI 2026/CPA 545</t>
  </si>
  <si>
    <t>N &amp; S Contruction</t>
  </si>
  <si>
    <t>GWI 2026/CPA 451</t>
  </si>
  <si>
    <t>Rawl Carryl</t>
  </si>
  <si>
    <t>C-010</t>
  </si>
  <si>
    <t>Procurement of service connection materials LOT 2:  Saddles</t>
  </si>
  <si>
    <t>Supply and delivery of 4' and 6" Ferrule Straps</t>
  </si>
  <si>
    <t xml:space="preserve">Atlantic Plastic Ltd. </t>
  </si>
  <si>
    <t>Contract signed and advance payment made.</t>
  </si>
  <si>
    <t>C-011</t>
  </si>
  <si>
    <t>Procurement of service connection materials LOT 3: Polyhose</t>
  </si>
  <si>
    <t>Supply and delivery of Poly Hose</t>
  </si>
  <si>
    <t>Gafsons Industries Limited</t>
  </si>
  <si>
    <t>Phase delivery</t>
  </si>
  <si>
    <t>C-012</t>
  </si>
  <si>
    <t>Procurement of service connection materials LOT 4: Poly fittings</t>
  </si>
  <si>
    <t>C-013</t>
  </si>
  <si>
    <t>Procurement of service connection materials LOT 5: Stop Cock</t>
  </si>
  <si>
    <t>Supply and delivery of stop Cock Brass valves</t>
  </si>
  <si>
    <t xml:space="preserve">Aalbert Integrated Piping Systems Ltd. </t>
  </si>
  <si>
    <t>C-014</t>
  </si>
  <si>
    <t>Well drilling materials</t>
  </si>
  <si>
    <t>PO-2534</t>
  </si>
  <si>
    <t>Procurement of Stainless Steel Well Drilling Materials</t>
  </si>
  <si>
    <t>Johnsons Screens</t>
  </si>
  <si>
    <t>Contract signed and supplier is manufacturing goods</t>
  </si>
  <si>
    <t>PO-2532</t>
  </si>
  <si>
    <t>Procurement of Critical PVC Well Drilling Materials</t>
  </si>
  <si>
    <t>Boode B.V</t>
  </si>
  <si>
    <t>PO-3705</t>
  </si>
  <si>
    <t>Supply and delivery of Mild Steel Conductors Casings 24''x1/4''</t>
  </si>
  <si>
    <t>Compass Industrial Services</t>
  </si>
  <si>
    <t>Delivery completed</t>
  </si>
  <si>
    <t>PO-3707</t>
  </si>
  <si>
    <t>C-015</t>
  </si>
  <si>
    <t>Drilling of New Well - Betterhope</t>
  </si>
  <si>
    <t xml:space="preserve">Bids closed on March 31, 2026. Currently under evalaution. </t>
  </si>
  <si>
    <t>C-016</t>
  </si>
  <si>
    <t>Drilling of New Well - Timerhi #5</t>
  </si>
  <si>
    <t>C-017</t>
  </si>
  <si>
    <t>Drilling of New Well - Grove</t>
  </si>
  <si>
    <t>C-018</t>
  </si>
  <si>
    <t>Drilling of New Well - Port Mourant</t>
  </si>
  <si>
    <t>C-019</t>
  </si>
  <si>
    <t>Drilling of New Well - Vergenoegen</t>
  </si>
  <si>
    <t>C-020</t>
  </si>
  <si>
    <t>Procurement of Electromechanical equipment for rehabilitation to production facilities</t>
  </si>
  <si>
    <t>Angus Flebile Pipelines</t>
  </si>
  <si>
    <t>C-021</t>
  </si>
  <si>
    <t xml:space="preserve">Extension of transmission and distribution systems to unserved areas: </t>
  </si>
  <si>
    <t>First  Time Access at Airy Hall, Middle Walk (North to South), Mahaica, Region # 5</t>
  </si>
  <si>
    <t>First  Time Access at Nigg &amp; Hampshire Villages, Region # 6</t>
  </si>
  <si>
    <t>First  Time Access at Catherine Middle Walk (North of Public Road), Mahaica, Region # 5</t>
  </si>
  <si>
    <t>First  Time Access at Brothers' Village, Region # 6</t>
  </si>
  <si>
    <t xml:space="preserve">First Time Access at Gilbrator Village, Region # 56 </t>
  </si>
  <si>
    <t>First Time Access at Mibicuri Village, Region # 6</t>
  </si>
  <si>
    <t>Supply and Installation of  PVC Distribution Mains at 3 Mile Access Road, Bartica, Region No.7</t>
  </si>
  <si>
    <t xml:space="preserve">Supply and Installation of  PVC Distribution Mains at Black’s Road, Bartica, Region No.7 </t>
  </si>
  <si>
    <t>Supply and Installation of  PVC Distribution Mains at Fowl Cock Road, Bartica, Region No.7</t>
  </si>
  <si>
    <t>C-022</t>
  </si>
  <si>
    <t>Road Reinstatement</t>
  </si>
  <si>
    <t>Reinstatement works at Broad Street, Saffon Street, West Ruimvedt, Benn Street, Norton &amp; Cemetery Road, Itunii Street, South &amp; Oronque Street, Hostel Street, Lance Gibbs Street, Main Street, Haley Street, Avenue of REpublic and Church Street</t>
  </si>
  <si>
    <t>P.E.A.S General Construction &amp; Supplies</t>
  </si>
  <si>
    <t>Works completed.</t>
  </si>
  <si>
    <t>Reinstatement works at Water Street and Avenue od Republic</t>
  </si>
  <si>
    <t>Reinstatement works at Various Locations within Georgetown</t>
  </si>
  <si>
    <t>C-023</t>
  </si>
  <si>
    <t>Advance Digital Transformation (Establishment Operation Control Centre)</t>
  </si>
  <si>
    <t>C-024</t>
  </si>
  <si>
    <t>Construct 2000 sanitation blocks Phase 2</t>
  </si>
  <si>
    <t>Bids opening on April 24, 2026</t>
  </si>
  <si>
    <t>C-025</t>
  </si>
  <si>
    <t>Project administration</t>
  </si>
  <si>
    <t>Urban Sewerage and Water</t>
  </si>
  <si>
    <t>U-001</t>
  </si>
  <si>
    <t>GWI Head Office</t>
  </si>
  <si>
    <t>U-002</t>
  </si>
  <si>
    <t>New Water Supply System - New Filter -Shelter Belt upgrade</t>
  </si>
  <si>
    <t>award</t>
  </si>
  <si>
    <t>Sigma Engineer's Ltd. Inc.</t>
  </si>
  <si>
    <t>U-003</t>
  </si>
  <si>
    <t>Drilling of New Well # Central Ruimveldt</t>
  </si>
  <si>
    <t xml:space="preserve">Well Drilling Services Inc. </t>
  </si>
  <si>
    <t>Contractor Mobilized at site.</t>
  </si>
  <si>
    <t>U-004</t>
  </si>
  <si>
    <t>Drilling of New Well # Shirley Field Ridley</t>
  </si>
  <si>
    <t>U-005</t>
  </si>
  <si>
    <t>Drilling of New Well # Houston</t>
  </si>
  <si>
    <t>U-006</t>
  </si>
  <si>
    <t>Sanitation - rehabilitate G/town sewer stations and network</t>
  </si>
  <si>
    <t>Supply and deivery of  Branes Chopper Dry  Pit Submericable Pumps with Accessories</t>
  </si>
  <si>
    <t>JKA Pump</t>
  </si>
  <si>
    <t>Contract signed and advance pament made.</t>
  </si>
  <si>
    <t>Raising of chambers and Manholes in Alberttown Zones, Georgetown</t>
  </si>
  <si>
    <t>Baroque Engineering and Cobstruction Services</t>
  </si>
  <si>
    <t>Contract awarded.</t>
  </si>
  <si>
    <t>Raising of chambers and Manholes in North and South Cumminngsburg Zones, Georgetown</t>
  </si>
  <si>
    <t xml:space="preserve">Sewer Modification at Lot 15-15 Norton Streets, Wortmanville, Georgetown </t>
  </si>
  <si>
    <t xml:space="preserve">Statix Construction and General Supplies </t>
  </si>
  <si>
    <t>U-007</t>
  </si>
  <si>
    <t>Waste Water Treatment Plant</t>
  </si>
  <si>
    <t>Awaiitng the submission of the Technical and Financial Proposals from the shrotlisted consultants. This process is being executed by IDB.</t>
  </si>
  <si>
    <t>Aviation</t>
  </si>
  <si>
    <t>RFP (EPC + F) for a code 3C airport at Rose Hall (Greenfield Project)</t>
  </si>
  <si>
    <t>We are awaiting Proposals. 9th Ex</t>
  </si>
  <si>
    <t>RFP (EPC + F) for a code 4E airport at Lethem (Greenfield Project)</t>
  </si>
  <si>
    <t>We are awaiting Proposals to know cost.</t>
  </si>
  <si>
    <t>Hinterland/Coastal Airstrips</t>
  </si>
  <si>
    <t>Rehabilitation of Kwakwani Airstrip, Region 10</t>
  </si>
  <si>
    <t>Assoicated Construction Services</t>
  </si>
  <si>
    <t>1) Works substantially completed; 
2) Contractor was written on Oct 29 to have corrective and outstanding works completed by Nov. 15, 2025.
3) Internal auditors to conduct physical verification of works during the week of December 28, 2025 before release of final payment.
4) Corrective Works to be undertaken prior to formal opening.
5) Contractor indicated that corrective works have been completed.
6) A joint site visit was done on March 10 to assess standards of corrective works; due to unfavorable weather conditions, this could not have been conducted and was rescheduled to the week of April 12, 2026.
7) Site inspection was done on April 14, 2026 to assess quality of corrective works; more corrective works will have to be undertaken prior to formal reopening.</t>
  </si>
  <si>
    <t>Phase 2: Extension of Ekereku Bottom Airstrip, Region 7</t>
  </si>
  <si>
    <t>Gyana Defence Force in collaboration with MoPW</t>
  </si>
  <si>
    <t>1) Following consultations with GDF at a Ministerial Level, it was decided to extend the length of Ekereku Bottom Airstrip.
2) Mobilization of equipment and personnel on-going; 850 sacks of cement currently stored on site.
3) Project cost increased due to logistical challenges in mobilizing materials.
4) Delays in mobilization due to military action close to Venezuela Border; pieces of equipment are on site and other pieces still to be transported via Sky Van which was down for maintenance. 
5) Meeting to discuss project implementation rescheduled due to Ministerial Commitments. New date likely to be within the week of April 12, 2026.</t>
  </si>
  <si>
    <t>Rehabilitation of Kaikan Airstrip, Region 7</t>
  </si>
  <si>
    <t>1) Mobilization of Equipment and Personnel ongoing.
2) Adjustments to the initial scope of works made prevent closure and inconvenience to the residents of Kaikan Village; project cost increased.
3) Awaiting public consultation with Minister and Village Reps. prior to commencement of physical works on the runway.
4) Delays in mobilization resulted from military actions close to Venezuela Border; meeting held with GDF to discuss implementation arrangements.
5) Project meeting to discuss implementation arrangements rescheduled due to Ministerial Commitments; new date likely to be within the week of April 12, 2026.</t>
  </si>
  <si>
    <t>Lot 3: Supply and Transportation of Materials for Construction of Matthew's Ridge Airstrip Region 1- Supply of Concrete</t>
  </si>
  <si>
    <t>GV Construction Inc.</t>
  </si>
  <si>
    <t>1) Works being executed by Ministry of Public Works' Special Projects Unit in collaboration with Matthew's Ridge Community.
2) Project is 54% completed; concrete works approximately 50% completed. Taxi way completed.
3) Works were protracted due to condition of road during rainy season.
4) Works continue to be delayed due to persistent and infrequent rainfall; Completion date likely for June 30, 2026.</t>
  </si>
  <si>
    <t>Lot 1: Rehabilitation of Anna Regina Airstrip, Region 2</t>
  </si>
  <si>
    <t>Builders Hardware General Supplies and Construction</t>
  </si>
  <si>
    <t>1) Works substantially completed. 
2) Outstanding works include installation of gate for perimeter fence and placement and compaction of shoulder material.</t>
  </si>
  <si>
    <t>Lot 2: Construction of Waiting Facility at Anna Regina Airstrip, Region 2</t>
  </si>
  <si>
    <t>ICAN Engineering &amp; Construction</t>
  </si>
  <si>
    <t>1) Site visit done with Contractor on January 11.
2) Excavation of foundation and sandfill completed; casting of foundation and 11 columns completed.
3) Casting of floor slab completed. Laying of blocks for exterior walls completed; casting of 7 window lintels completed. 
4) Plastering of internal walls completed; casting of handicap ramp completed. Cuttings for plumbing and electrical works on-going. 
5) Framing of roof completed; installation of zinc members completed. 
6) Contractor indicated difficulties in procuring windows from Gafoors during a site visit conducted on April 10, 2026; the supplier gave a commitment to have the materials supplied during the week of April 12, 2026.</t>
  </si>
  <si>
    <t>Rehabilitation of Karasabai Airstrip, Region 9</t>
  </si>
  <si>
    <t>Comm.Participation</t>
  </si>
  <si>
    <t>MoPW's SPU in collaboration with MPUA &amp; Community</t>
  </si>
  <si>
    <t>1) Works completed.
2) Airstrip commissioned on April 04, 2026 by His Excellency.</t>
  </si>
  <si>
    <t>Construction of Parking Apron at Kaieteur Airstrip, Region 8</t>
  </si>
  <si>
    <t>Guyana Defence Force in collaboration with MPUA</t>
  </si>
  <si>
    <t>1) Works are being implemented by the Guyana Defence Force in collaboration with the Ministry of Public Utilities &amp; Aviation.
2) Concrete Works approximately 40.5% completed; sections measuring 250ft by 50ft and 108ft by 25ft were cast. 
3) Works are protracted due to persistent rainfall.
4) Transportation of cement from Mahdia to Kaieteur utilizing local air service providers have slowed down. This will impact the rate of progress of concrete works.</t>
  </si>
  <si>
    <t>Rehabilitation of Monkey Mountain Airstrip, Region 8</t>
  </si>
  <si>
    <t xml:space="preserve">1) Site inspection conducted on April 11, 2026
2) Engineering surveys completed. </t>
  </si>
  <si>
    <t>We are awaiting Proposals. Bids extended for 2 months and will open on June 9, 2026</t>
  </si>
  <si>
    <t>CJIA Corporation</t>
  </si>
  <si>
    <t>Rehabilitation of the Runway and Taxiway at CJIA</t>
  </si>
  <si>
    <t>The revised BOQ was sent on 30th March 2026. This is being finalized. To be advertised in April 2026.</t>
  </si>
  <si>
    <t>Procurement &amp; Installation of Wheelchair Lift for the Commercial Building</t>
  </si>
  <si>
    <t>-</t>
  </si>
  <si>
    <t>31/10/2023</t>
  </si>
  <si>
    <t>15/11/2023</t>
  </si>
  <si>
    <t>Total Solutions</t>
  </si>
  <si>
    <t>The contract was awarded in 2023. The equipment is installed but the commissioning is pending the completion of the commercial building.</t>
  </si>
  <si>
    <t>Civil Aviation Authority</t>
  </si>
  <si>
    <t>Construction of New Air Traffic Control Tower at Timehri</t>
  </si>
  <si>
    <t>The tender was extended by 1 month because of additional technical information bidders needed. Bids will open on Tuesday May 19th.</t>
  </si>
  <si>
    <t>Construction of Centre of Aviation: Civil Aviation Training School + GCAA HQ</t>
  </si>
  <si>
    <t>Awaiting Policy Direction whether we go with RFP (EPC + F) or we start the project with 100M and budget for additional resources in supplemental. Note: We have a design, but this will need updating. Depending on the policy advise we will know how to proceed.</t>
  </si>
  <si>
    <t xml:space="preserve">Maritime Administration </t>
  </si>
  <si>
    <t xml:space="preserve">Dredging </t>
  </si>
  <si>
    <t xml:space="preserve"> </t>
  </si>
  <si>
    <t>Dredging of Demerara River and main ships' channel</t>
  </si>
  <si>
    <t>Awaitng Policy Direction</t>
  </si>
  <si>
    <t>Navigational Aids</t>
  </si>
  <si>
    <t>Supply and Delivery of Tide Monitoring (Radar and Pressure) Systems and Accessories</t>
  </si>
  <si>
    <t xml:space="preserve">Tender Document resubmitted to NPTAB on Friday, April 10, 20206 after being returned for clarification on Technical Specifications. </t>
  </si>
  <si>
    <t>Acquisition of Spares (Aids to Navigation)</t>
  </si>
  <si>
    <t>Supply and Delivery of MET Ocean Buoy and Accessories</t>
  </si>
  <si>
    <t>Summary:</t>
  </si>
  <si>
    <r>
      <rPr>
        <rFont val="Arial"/>
        <b/>
        <color theme="1"/>
        <sz val="9.0"/>
      </rPr>
      <t xml:space="preserve">Duration
</t>
    </r>
    <r>
      <rPr>
        <rFont val="Arial"/>
        <b val="0"/>
        <i/>
        <color rgb="FF000000"/>
        <sz val="9.0"/>
      </rPr>
      <t>months</t>
    </r>
  </si>
  <si>
    <t>Ministry of Public Utilities &amp; Aviation</t>
  </si>
  <si>
    <t>Electricity Services</t>
  </si>
  <si>
    <t>EPC Financing for GPL - UCC $500M</t>
  </si>
  <si>
    <t>Supervision - 4mths at US$650k</t>
  </si>
  <si>
    <r>
      <rPr>
        <rFont val="Arial"/>
        <b/>
        <color theme="1"/>
        <sz val="9.0"/>
      </rPr>
      <t xml:space="preserve">Duration
</t>
    </r>
    <r>
      <rPr>
        <rFont val="Arial"/>
        <b val="0"/>
        <i/>
        <color rgb="FF000000"/>
        <sz val="9.0"/>
      </rPr>
      <t>months</t>
    </r>
  </si>
  <si>
    <t xml:space="preserve">Water Service Expansion and Management </t>
  </si>
  <si>
    <t>Climate Resilient Water Infrastructure Improvement Project</t>
  </si>
  <si>
    <t>Procurement of Plant: Design, Supply, Installation &amp; Commissioning of Surface Water Treatment Facilities at Diamond, East Bank Demerara, Region No. 4</t>
  </si>
  <si>
    <t>ICB</t>
  </si>
  <si>
    <t xml:space="preserve">Expected </t>
  </si>
  <si>
    <t xml:space="preserve">Under evaluation </t>
  </si>
  <si>
    <t>Five bids were submitted and are currently under evaluation. The evaluation report is expected to be submitted by February 26, 2026.</t>
  </si>
  <si>
    <t xml:space="preserve">Construction of Surface Water Treatment Plant </t>
  </si>
  <si>
    <t>Construction of surface water intake for abstraction of surface water from the EDWC</t>
  </si>
  <si>
    <t xml:space="preserve">Construction of solar energy generation system </t>
  </si>
  <si>
    <t xml:space="preserve">Procurement of materials for transmission mains </t>
  </si>
  <si>
    <t>Expected</t>
  </si>
  <si>
    <t>Development and Implementation of NRW action plan (Individual Consultant)</t>
  </si>
  <si>
    <t>3CV</t>
  </si>
  <si>
    <t>Implementation of NRW action plan (advertisments, stakeholder engagements etc.)</t>
  </si>
  <si>
    <t xml:space="preserve">Procurement of leakage equipment, NRW related materials etc. </t>
  </si>
  <si>
    <t>Network modification and installation of DMAs</t>
  </si>
  <si>
    <t>Procurement of smart meters</t>
  </si>
  <si>
    <t>Implementation of digital transformation action plan</t>
  </si>
  <si>
    <t>OCBS</t>
  </si>
  <si>
    <t xml:space="preserve">Upgrade of commercial and financial management system (billing software) </t>
  </si>
  <si>
    <t xml:space="preserve">Project Management </t>
  </si>
  <si>
    <t xml:space="preserve">Shopping </t>
  </si>
  <si>
    <t>Consultancy services for Supervision of the Works  - Design Review and Supervision of the Construction of a Water Treatment Plant at Great Diamond (Block 3), East Bank Demerara</t>
  </si>
  <si>
    <t>QCBS</t>
  </si>
  <si>
    <t xml:space="preserve">Eleven expressions of interest were received. These are under evaluation for shorting of firms after which the request for proposals (RFP) will be sent to the shortlisted firms for their technical and financial proposals. </t>
  </si>
  <si>
    <t>Project Administration</t>
  </si>
  <si>
    <t>CQS</t>
  </si>
  <si>
    <t>Method of Procurement</t>
  </si>
  <si>
    <t>Duration
 months</t>
  </si>
  <si>
    <t>Status 
 %</t>
  </si>
  <si>
    <t>Example: 1-Jan-2025</t>
  </si>
  <si>
    <t>Agency No. 34</t>
  </si>
  <si>
    <t>Name of Agency - Ministry of Public Utilities &amp; Aviation</t>
  </si>
  <si>
    <t>Programme No.343</t>
  </si>
  <si>
    <t>Programme Title: Water Supply Improvement Project</t>
  </si>
  <si>
    <t>GOG funded (counterpart resources)</t>
  </si>
  <si>
    <t>Construction of Water Treatment Plant at Leguan and Wakenaam</t>
  </si>
  <si>
    <t>Sigma Engineers Ltd and Hebei Wansheng Environmental Protection Engineering Co. Ltd JV</t>
  </si>
  <si>
    <t>Construction is progressing as per contract</t>
  </si>
  <si>
    <t>Candice Ramessar and Devika Sam</t>
  </si>
  <si>
    <t>Contracts to be signed for the Social and Gender Safeguard Specialist and Environmental Specialist in Apr. 2026</t>
  </si>
  <si>
    <t>CDB/EIB funded</t>
  </si>
  <si>
    <t>Construction of WTPs</t>
  </si>
  <si>
    <t>Action Construction Equipment Ltd. And Phoenix Private Projects Ltd.</t>
  </si>
  <si>
    <t>Drilling of Wells:</t>
  </si>
  <si>
    <t>Lot 1</t>
  </si>
  <si>
    <t>S.Jagmohan Construction and General Supplies Inc.</t>
  </si>
  <si>
    <t>Contract signed and commencement order issued.</t>
  </si>
  <si>
    <t>CPA 562</t>
  </si>
  <si>
    <t>Lot 2</t>
  </si>
  <si>
    <t>ACE-Hugel JV</t>
  </si>
  <si>
    <t>Contract signed.</t>
  </si>
  <si>
    <t>Transmission Mains</t>
  </si>
  <si>
    <t>Bids to be advertised in April, 2026</t>
  </si>
  <si>
    <t>Consultancy services for supervision of the works</t>
  </si>
  <si>
    <t>EXP Services Inc. in association with CB Associates Inc.</t>
  </si>
  <si>
    <t>Consultant for NRW reduction</t>
  </si>
  <si>
    <t>Procurement of vehicles for NRW works</t>
  </si>
  <si>
    <t>LB</t>
  </si>
  <si>
    <t>Procurement of leakage equipment and materials</t>
  </si>
  <si>
    <t>NRW works within the project areas</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</si>
</sst>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_(* #,##0.000_);_(* \(#,##0.000\);_(* &quot;-&quot;??_);_(@_)"/>
    <numFmt numFmtId="165" formatCode="_-* #,##0.000_-;\-* #,##0.000_-;_-* &quot;-&quot;??_-;_-@"/>
    <numFmt numFmtId="166" formatCode="0.000"/>
    <numFmt numFmtId="167" formatCode="mm/dd/yyyy"/>
    <numFmt numFmtId="168" formatCode="d-mmmm-yyyy"/>
    <numFmt numFmtId="169" formatCode="_-* #,##0_-;\-* #,##0_-;_-* &quot;-&quot;??_-;_-@"/>
    <numFmt numFmtId="170" formatCode="[$-1409]d\ mmmm\ yyyy"/>
    <numFmt numFmtId="171" formatCode="d&quot;-&quot;mmm&quot;-&quot;yyyy"/>
    <numFmt numFmtId="172" formatCode="0.0%"/>
    <numFmt numFmtId="173" formatCode="d-mmm-yy"/>
    <numFmt numFmtId="174" formatCode="d-mmm-yyyy"/>
    <numFmt numFmtId="175" formatCode="d-mmmm-yy"/>
    <numFmt numFmtId="176" formatCode="mmm. d, yyyy"/>
    <numFmt numFmtId="177" formatCode="_-* #,##0.0_-;\-* #,##0.0_-;_-* &quot;-&quot;??_-;_-@"/>
    <numFmt numFmtId="178" formatCode="m/d/yyyy"/>
    <numFmt numFmtId="179" formatCode="#,##0.000_ ;\-#,##0.000\ "/>
    <numFmt numFmtId="180" formatCode="[$-409]d\-mmm\-yy"/>
  </numFmts>
  <fonts count="51">
    <font>
      <sz val="10.0"/>
      <color rgb="FF000000"/>
      <name val="Arial"/>
      <scheme val="minor"/>
    </font>
    <font>
      <b/>
      <sz val="11.0"/>
      <color theme="1"/>
      <name val="Arial"/>
    </font>
    <font>
      <b/>
      <sz val="10.0"/>
      <color theme="1"/>
      <name val="Arial"/>
    </font>
    <font>
      <b/>
      <sz val="9.0"/>
      <color theme="1"/>
      <name val="Arial"/>
    </font>
    <font/>
    <font>
      <i/>
      <sz val="9.0"/>
      <color theme="1"/>
      <name val="Arial"/>
    </font>
    <font>
      <sz val="10.0"/>
      <color theme="1"/>
      <name val="Arial"/>
    </font>
    <font>
      <sz val="9.0"/>
      <color theme="1"/>
      <name val="Arial"/>
    </font>
    <font>
      <b/>
      <i/>
      <sz val="9.0"/>
      <color theme="1"/>
      <name val="Arial"/>
    </font>
    <font>
      <sz val="12.0"/>
      <color theme="1"/>
      <name val="&quot;Times New Roman&quot;"/>
    </font>
    <font>
      <sz val="9.0"/>
      <color rgb="FF000000"/>
      <name val="Arial"/>
    </font>
    <font>
      <sz val="12.0"/>
      <color rgb="FF000000"/>
      <name val="&quot;Times New Roman&quot;"/>
    </font>
    <font>
      <i/>
      <sz val="10.0"/>
      <color theme="1"/>
      <name val="Arial"/>
    </font>
    <font>
      <sz val="13.0"/>
      <color rgb="FF000000"/>
      <name val="&quot;Times New Roman&quot;"/>
    </font>
    <font>
      <sz val="12.0"/>
      <color rgb="FF000000"/>
      <name val="Times New Roman"/>
    </font>
    <font>
      <sz val="10.0"/>
      <color theme="1"/>
      <name val="Times New Roman"/>
    </font>
    <font>
      <b/>
      <sz val="9.0"/>
      <color theme="1"/>
      <name val="Times New Roman"/>
    </font>
    <font>
      <i/>
      <sz val="9.0"/>
      <color theme="1"/>
      <name val="Times New Roman"/>
    </font>
    <font>
      <color theme="1"/>
      <name val="Times New Roman"/>
    </font>
    <font>
      <sz val="11.0"/>
      <color theme="1"/>
      <name val="Times New Roman"/>
    </font>
    <font>
      <sz val="12.0"/>
      <color theme="1"/>
      <name val="Times New Roman"/>
    </font>
    <font>
      <i/>
      <sz val="12.0"/>
      <color theme="1"/>
      <name val="Times New Roman"/>
    </font>
    <font>
      <sz val="11.0"/>
      <color rgb="FF000000"/>
      <name val="Times New Roman"/>
    </font>
    <font>
      <i/>
      <sz val="12.0"/>
      <color rgb="FF000000"/>
      <name val="Times New Roman"/>
    </font>
    <font>
      <sz val="9.0"/>
      <color rgb="FF000000"/>
      <name val="Times New Roman"/>
    </font>
    <font>
      <color theme="1"/>
      <name val="Arial"/>
    </font>
    <font>
      <b/>
      <i/>
      <sz val="10.0"/>
      <color theme="1"/>
      <name val="Arial"/>
    </font>
    <font>
      <sz val="11.0"/>
      <color rgb="FF161513"/>
      <name val="&quot;Oracle Sans&quot;"/>
    </font>
    <font>
      <sz val="11.0"/>
      <color rgb="FF161513"/>
      <name val="Arial"/>
    </font>
    <font>
      <color rgb="FF000000"/>
      <name val="Calibri"/>
    </font>
    <font>
      <color theme="1"/>
      <name val="Calibri"/>
    </font>
    <font>
      <b/>
      <color rgb="FF000000"/>
      <name val="Calibri"/>
    </font>
    <font>
      <sz val="11.0"/>
      <color rgb="FF000000"/>
      <name val="&quot;Times New Roman&quot;"/>
    </font>
    <font>
      <i/>
      <sz val="9.0"/>
      <color rgb="FF000000"/>
      <name val="Arial"/>
    </font>
    <font>
      <color rgb="FF000000"/>
      <name val="Arial"/>
    </font>
    <font>
      <sz val="11.0"/>
      <color theme="1"/>
      <name val="Arial"/>
    </font>
    <font>
      <b/>
      <sz val="11.0"/>
      <color theme="1"/>
      <name val="Calibri"/>
    </font>
    <font>
      <b/>
      <sz val="10.0"/>
      <color theme="1"/>
      <name val="Calibri"/>
    </font>
    <font>
      <sz val="10.0"/>
      <color rgb="FF000000"/>
      <name val="Arial"/>
    </font>
    <font>
      <color theme="1"/>
      <name val="Arial"/>
      <scheme val="minor"/>
    </font>
    <font>
      <sz val="12.0"/>
      <color theme="1"/>
      <name val="Calibri"/>
    </font>
    <font>
      <sz val="11.0"/>
      <color theme="1"/>
      <name val="Calibri"/>
    </font>
    <font>
      <b/>
      <sz val="12.0"/>
      <color rgb="FF000000"/>
      <name val="Georgia"/>
    </font>
    <font>
      <b/>
      <sz val="12.0"/>
      <color theme="1"/>
      <name val="Georgia"/>
    </font>
    <font>
      <i/>
      <sz val="12.0"/>
      <color theme="1"/>
      <name val="Georgia"/>
    </font>
    <font>
      <i/>
      <sz val="12.0"/>
      <color rgb="FF000000"/>
      <name val="Georgia"/>
    </font>
    <font>
      <b/>
      <sz val="11.0"/>
      <color rgb="FF000000"/>
      <name val="Calibri"/>
    </font>
    <font>
      <sz val="12.0"/>
      <color theme="1"/>
      <name val="Georgia"/>
    </font>
    <font>
      <sz val="12.0"/>
      <color rgb="FF000000"/>
      <name val="Georgia"/>
    </font>
    <font>
      <i/>
      <sz val="12.0"/>
      <color rgb="FF000000"/>
      <name val="&quot;Aptos Narrow&quot;"/>
    </font>
    <font>
      <b/>
      <i/>
      <sz val="12.0"/>
      <color rgb="FF000000"/>
      <name val="Georgia"/>
    </font>
  </fonts>
  <fills count="14">
    <fill>
      <patternFill patternType="none"/>
    </fill>
    <fill>
      <patternFill patternType="lightGray"/>
    </fill>
    <fill>
      <patternFill patternType="solid">
        <fgColor rgb="FFD8D8D8"/>
        <bgColor rgb="FFD8D8D8"/>
      </patternFill>
    </fill>
    <fill>
      <patternFill patternType="solid">
        <fgColor rgb="FFE5B8B7"/>
        <bgColor rgb="FFE5B8B7"/>
      </patternFill>
    </fill>
    <fill>
      <patternFill patternType="solid">
        <fgColor rgb="FFBFBFBF"/>
        <bgColor rgb="FFBFBFBF"/>
      </patternFill>
    </fill>
    <fill>
      <patternFill patternType="solid">
        <fgColor rgb="FFFFFF00"/>
        <bgColor rgb="FFFFFF00"/>
      </patternFill>
    </fill>
    <fill>
      <patternFill patternType="solid">
        <fgColor rgb="FFFFFFFF"/>
        <bgColor rgb="FFFFFFFF"/>
      </patternFill>
    </fill>
    <fill>
      <patternFill patternType="solid">
        <fgColor rgb="FFDDEBF7"/>
        <bgColor rgb="FFDDEBF7"/>
      </patternFill>
    </fill>
    <fill>
      <patternFill patternType="solid">
        <fgColor theme="0"/>
        <bgColor theme="0"/>
      </patternFill>
    </fill>
    <fill>
      <patternFill patternType="solid">
        <fgColor rgb="FF7F7F7F"/>
        <bgColor rgb="FF7F7F7F"/>
      </patternFill>
    </fill>
    <fill>
      <patternFill patternType="solid">
        <fgColor rgb="FF95B3D7"/>
        <bgColor rgb="FF95B3D7"/>
      </patternFill>
    </fill>
    <fill>
      <patternFill patternType="solid">
        <fgColor rgb="FFD9D9D9"/>
        <bgColor rgb="FFD9D9D9"/>
      </patternFill>
    </fill>
    <fill>
      <patternFill patternType="solid">
        <fgColor rgb="FFE6B8B7"/>
        <bgColor rgb="FFE6B8B7"/>
      </patternFill>
    </fill>
    <fill>
      <patternFill patternType="solid">
        <fgColor rgb="FFA6A6A6"/>
        <bgColor rgb="FFA6A6A6"/>
      </patternFill>
    </fill>
  </fills>
  <borders count="23">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EAEAEA"/>
      </left>
      <right style="thin">
        <color rgb="FFEAEAEA"/>
      </right>
      <top style="thin">
        <color rgb="FFEAEAEA"/>
      </top>
      <bottom style="thin">
        <color rgb="FFEAEAEA"/>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hair">
        <color rgb="FF000000"/>
      </top>
      <bottom style="hair">
        <color rgb="FF000000"/>
      </bottom>
    </border>
    <border>
      <bottom style="thin">
        <color rgb="FF000000"/>
      </bottom>
    </border>
  </borders>
  <cellStyleXfs count="1">
    <xf borderId="0" fillId="0" fontId="0" numFmtId="0" applyAlignment="1" applyFont="1"/>
  </cellStyleXfs>
  <cellXfs count="3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2" numFmtId="164" xfId="0" applyAlignment="1" applyBorder="1" applyFont="1" applyNumberFormat="1">
      <alignment horizontal="center" shrinkToFit="0" vertical="center" wrapText="0"/>
    </xf>
    <xf borderId="1" fillId="0" fontId="3" numFmtId="0" xfId="0" applyAlignment="1" applyBorder="1" applyFont="1">
      <alignment horizontal="center" shrinkToFit="0" vertical="center" wrapText="1"/>
    </xf>
    <xf borderId="2" fillId="3"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2" fillId="2" fontId="3" numFmtId="0" xfId="0" applyAlignment="1" applyBorder="1" applyFont="1">
      <alignment horizontal="center" shrinkToFit="0" vertical="center" wrapText="0"/>
    </xf>
    <xf borderId="1" fillId="0" fontId="3" numFmtId="0" xfId="0" applyAlignment="1" applyBorder="1" applyFont="1">
      <alignment horizontal="left" shrinkToFit="0" vertical="center" wrapText="0"/>
    </xf>
    <xf borderId="5" fillId="0" fontId="4" numFmtId="0" xfId="0" applyBorder="1" applyFont="1"/>
    <xf borderId="1" fillId="3" fontId="3"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6" fillId="2" fontId="3" numFmtId="165" xfId="0" applyAlignment="1" applyBorder="1" applyFont="1" applyNumberFormat="1">
      <alignment horizontal="center" shrinkToFit="0" vertical="center" wrapText="1"/>
    </xf>
    <xf borderId="1" fillId="2" fontId="3" numFmtId="165" xfId="0" applyAlignment="1" applyBorder="1" applyFont="1" applyNumberFormat="1">
      <alignment horizontal="center" shrinkToFit="0" vertical="center" wrapText="1"/>
    </xf>
    <xf borderId="6" fillId="2" fontId="3" numFmtId="0" xfId="0" applyAlignment="1" applyBorder="1" applyFont="1">
      <alignment horizontal="center" shrinkToFit="0" vertical="center" wrapText="1"/>
    </xf>
    <xf borderId="7" fillId="0" fontId="4" numFmtId="0" xfId="0" applyBorder="1" applyFont="1"/>
    <xf borderId="6" fillId="3" fontId="5" numFmtId="0" xfId="0" applyAlignment="1" applyBorder="1" applyFont="1">
      <alignment horizontal="center" shrinkToFit="0" vertical="center" wrapText="1"/>
    </xf>
    <xf borderId="8" fillId="2" fontId="5" numFmtId="165" xfId="0" applyAlignment="1" applyBorder="1" applyFont="1" applyNumberFormat="1">
      <alignment horizontal="center" shrinkToFit="0" vertical="center" wrapText="1"/>
    </xf>
    <xf borderId="9" fillId="0" fontId="4" numFmtId="0" xfId="0" applyBorder="1" applyFont="1"/>
    <xf borderId="8" fillId="2" fontId="5" numFmtId="0" xfId="0" applyAlignment="1" applyBorder="1" applyFont="1">
      <alignment horizontal="center" shrinkToFit="0" vertical="center" wrapText="1"/>
    </xf>
    <xf borderId="2" fillId="3" fontId="5" numFmtId="0" xfId="0" applyAlignment="1" applyBorder="1" applyFont="1">
      <alignment horizontal="center" shrinkToFit="0" vertical="center" wrapText="1"/>
    </xf>
    <xf borderId="10" fillId="0" fontId="4" numFmtId="0" xfId="0" applyBorder="1" applyFont="1"/>
    <xf borderId="11" fillId="0" fontId="4" numFmtId="0" xfId="0" applyBorder="1" applyFont="1"/>
    <xf borderId="6" fillId="4" fontId="1" numFmtId="0" xfId="0" applyAlignment="1" applyBorder="1" applyFill="1" applyFont="1">
      <alignment horizontal="left" shrinkToFit="0" vertical="center" wrapText="0"/>
    </xf>
    <xf borderId="6" fillId="4" fontId="2" numFmtId="164" xfId="0" applyAlignment="1" applyBorder="1" applyFont="1" applyNumberFormat="1">
      <alignment horizontal="center" shrinkToFit="0" vertical="center" wrapText="0"/>
    </xf>
    <xf borderId="6" fillId="4" fontId="3" numFmtId="0" xfId="0" applyAlignment="1" applyBorder="1" applyFont="1">
      <alignment horizontal="center" shrinkToFit="0" vertical="center" wrapText="1"/>
    </xf>
    <xf borderId="6" fillId="4" fontId="5" numFmtId="0" xfId="0" applyAlignment="1" applyBorder="1" applyFont="1">
      <alignment horizontal="center" shrinkToFit="0" vertical="center" wrapText="1"/>
    </xf>
    <xf borderId="6" fillId="4" fontId="5" numFmtId="165" xfId="0" applyAlignment="1" applyBorder="1" applyFont="1" applyNumberFormat="1">
      <alignment horizontal="center" shrinkToFit="0" vertical="center" wrapText="1"/>
    </xf>
    <xf borderId="6" fillId="4" fontId="3" numFmtId="0" xfId="0" applyAlignment="1" applyBorder="1" applyFont="1">
      <alignment horizontal="left" shrinkToFit="0" vertical="center" wrapText="0"/>
    </xf>
    <xf borderId="6" fillId="0" fontId="1" numFmtId="0" xfId="0" applyAlignment="1" applyBorder="1" applyFont="1">
      <alignment horizontal="left" shrinkToFit="0" vertical="center" wrapText="0"/>
    </xf>
    <xf borderId="6" fillId="0" fontId="2" numFmtId="164" xfId="0" applyAlignment="1" applyBorder="1" applyFont="1" applyNumberFormat="1">
      <alignment horizontal="center" shrinkToFit="0" vertical="center" wrapText="0"/>
    </xf>
    <xf borderId="6" fillId="0" fontId="3"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6" fillId="0" fontId="5" numFmtId="165" xfId="0" applyAlignment="1" applyBorder="1" applyFont="1" applyNumberFormat="1">
      <alignment horizontal="center" shrinkToFit="0" vertical="center" wrapText="1"/>
    </xf>
    <xf borderId="6" fillId="0" fontId="3" numFmtId="0" xfId="0" applyAlignment="1" applyBorder="1" applyFont="1">
      <alignment horizontal="left" shrinkToFit="0" vertical="center" wrapText="0"/>
    </xf>
    <xf borderId="6" fillId="2" fontId="1" numFmtId="0" xfId="0" applyAlignment="1" applyBorder="1" applyFont="1">
      <alignment horizontal="left" shrinkToFit="0" vertical="center" wrapText="0"/>
    </xf>
    <xf borderId="6" fillId="2" fontId="2" numFmtId="164" xfId="0" applyAlignment="1" applyBorder="1" applyFont="1" applyNumberFormat="1">
      <alignment horizontal="center" shrinkToFit="0" vertical="center" wrapText="0"/>
    </xf>
    <xf borderId="6" fillId="2" fontId="5" numFmtId="0" xfId="0" applyAlignment="1" applyBorder="1" applyFont="1">
      <alignment horizontal="center" shrinkToFit="0" vertical="center" wrapText="1"/>
    </xf>
    <xf borderId="6" fillId="2" fontId="5" numFmtId="165" xfId="0" applyAlignment="1" applyBorder="1" applyFont="1" applyNumberFormat="1">
      <alignment horizontal="center" shrinkToFit="0" vertical="center" wrapText="1"/>
    </xf>
    <xf borderId="6" fillId="2" fontId="3" numFmtId="0" xfId="0" applyAlignment="1" applyBorder="1" applyFont="1">
      <alignment horizontal="left" shrinkToFit="0" vertical="center" wrapText="0"/>
    </xf>
    <xf borderId="6" fillId="5" fontId="1" numFmtId="0" xfId="0" applyAlignment="1" applyBorder="1" applyFill="1" applyFont="1">
      <alignment horizontal="left" shrinkToFit="0" vertical="center" wrapText="0"/>
    </xf>
    <xf borderId="6" fillId="5" fontId="2" numFmtId="164" xfId="0" applyAlignment="1" applyBorder="1" applyFont="1" applyNumberFormat="1">
      <alignment horizontal="center" shrinkToFit="0" vertical="center" wrapText="0"/>
    </xf>
    <xf borderId="6" fillId="5" fontId="3" numFmtId="0" xfId="0" applyAlignment="1" applyBorder="1" applyFont="1">
      <alignment horizontal="center" shrinkToFit="0" vertical="center" wrapText="1"/>
    </xf>
    <xf borderId="6" fillId="5" fontId="5" numFmtId="0" xfId="0" applyAlignment="1" applyBorder="1" applyFont="1">
      <alignment horizontal="center" shrinkToFit="0" vertical="center" wrapText="1"/>
    </xf>
    <xf borderId="6" fillId="5" fontId="5" numFmtId="165" xfId="0" applyAlignment="1" applyBorder="1" applyFont="1" applyNumberFormat="1">
      <alignment horizontal="center" shrinkToFit="0" vertical="center" wrapText="1"/>
    </xf>
    <xf borderId="6" fillId="5" fontId="3" numFmtId="0" xfId="0" applyAlignment="1" applyBorder="1" applyFont="1">
      <alignment horizontal="left" shrinkToFit="0" vertical="center" wrapText="0"/>
    </xf>
    <xf borderId="6" fillId="0" fontId="1" numFmtId="0" xfId="0" applyAlignment="1" applyBorder="1" applyFont="1">
      <alignment horizontal="center" shrinkToFit="0" vertical="center" wrapText="0"/>
    </xf>
    <xf borderId="6" fillId="0" fontId="6" numFmtId="0" xfId="0" applyAlignment="1" applyBorder="1" applyFont="1">
      <alignment horizontal="left" shrinkToFit="0" vertical="center" wrapText="0"/>
    </xf>
    <xf borderId="6" fillId="0" fontId="6" numFmtId="164" xfId="0" applyAlignment="1" applyBorder="1" applyFont="1" applyNumberFormat="1">
      <alignment horizontal="center" shrinkToFit="0" vertical="center" wrapText="0"/>
    </xf>
    <xf borderId="6" fillId="0" fontId="6" numFmtId="0" xfId="0" applyAlignment="1" applyBorder="1" applyFont="1">
      <alignment horizontal="center" readingOrder="0" shrinkToFit="0" vertical="bottom" wrapText="0"/>
    </xf>
    <xf borderId="6" fillId="0" fontId="6" numFmtId="166" xfId="0" applyAlignment="1" applyBorder="1" applyFont="1" applyNumberFormat="1">
      <alignment horizontal="center" shrinkToFit="0" vertical="bottom" wrapText="0"/>
    </xf>
    <xf borderId="6" fillId="0" fontId="6" numFmtId="0" xfId="0" applyAlignment="1" applyBorder="1" applyFont="1">
      <alignment horizontal="center" shrinkToFit="0" vertical="bottom" wrapText="0"/>
    </xf>
    <xf borderId="6" fillId="0" fontId="3" numFmtId="167" xfId="0" applyAlignment="1" applyBorder="1" applyFont="1" applyNumberFormat="1">
      <alignment horizontal="center" readingOrder="0" shrinkToFit="0" vertical="center" wrapText="1"/>
    </xf>
    <xf borderId="6" fillId="0" fontId="3"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6" fillId="0" fontId="6" numFmtId="166" xfId="0" applyAlignment="1" applyBorder="1" applyFont="1" applyNumberFormat="1">
      <alignment horizontal="center" readingOrder="0" shrinkToFit="0" vertical="bottom" wrapText="0"/>
    </xf>
    <xf borderId="6" fillId="0" fontId="5" numFmtId="165" xfId="0" applyAlignment="1" applyBorder="1" applyFont="1" applyNumberFormat="1">
      <alignment horizontal="center" readingOrder="0" shrinkToFit="0" vertical="center" wrapText="1"/>
    </xf>
    <xf borderId="6" fillId="0" fontId="5" numFmtId="168" xfId="0" applyAlignment="1" applyBorder="1" applyFont="1" applyNumberFormat="1">
      <alignment horizontal="center" readingOrder="0" shrinkToFit="0" vertical="center" wrapText="1"/>
    </xf>
    <xf borderId="6" fillId="0" fontId="3" numFmtId="0" xfId="0" applyAlignment="1" applyBorder="1" applyFont="1">
      <alignment horizontal="left" readingOrder="0" shrinkToFit="0" vertical="center" wrapText="0"/>
    </xf>
    <xf borderId="6" fillId="0" fontId="6" numFmtId="0" xfId="0" applyAlignment="1" applyBorder="1" applyFont="1">
      <alignment horizontal="left" shrinkToFit="0" vertical="bottom" wrapText="1"/>
    </xf>
    <xf borderId="6" fillId="0" fontId="5" numFmtId="167" xfId="0" applyAlignment="1" applyBorder="1" applyFont="1" applyNumberFormat="1">
      <alignment horizontal="center" readingOrder="0" shrinkToFit="0" vertical="center" wrapText="1"/>
    </xf>
    <xf borderId="6" fillId="0" fontId="6" numFmtId="0" xfId="0" applyAlignment="1" applyBorder="1" applyFont="1">
      <alignment horizontal="left" shrinkToFit="0" vertical="center" wrapText="1"/>
    </xf>
    <xf borderId="6" fillId="0" fontId="2" numFmtId="0" xfId="0" applyAlignment="1" applyBorder="1" applyFont="1">
      <alignment horizontal="left" shrinkToFit="0" vertical="center" wrapText="1"/>
    </xf>
    <xf borderId="6" fillId="0" fontId="7" numFmtId="0" xfId="0" applyAlignment="1" applyBorder="1" applyFont="1">
      <alignment horizontal="left" shrinkToFit="0" vertical="center" wrapText="1"/>
    </xf>
    <xf borderId="6" fillId="0" fontId="7" numFmtId="165" xfId="0" applyAlignment="1" applyBorder="1" applyFont="1" applyNumberFormat="1">
      <alignment horizontal="center" readingOrder="0" shrinkToFit="0" vertical="center" wrapText="1"/>
    </xf>
    <xf borderId="6" fillId="0" fontId="5" numFmtId="169" xfId="0" applyAlignment="1" applyBorder="1" applyFont="1" applyNumberFormat="1">
      <alignment horizontal="center" shrinkToFit="0" vertical="center" wrapText="1"/>
    </xf>
    <xf borderId="6" fillId="0" fontId="7" numFmtId="170" xfId="0" applyAlignment="1" applyBorder="1" applyFont="1" applyNumberFormat="1">
      <alignment horizontal="center" shrinkToFit="0" vertical="center" wrapText="1"/>
    </xf>
    <xf borderId="6" fillId="0" fontId="5" numFmtId="171" xfId="0" applyAlignment="1" applyBorder="1" applyFont="1" applyNumberFormat="1">
      <alignment horizontal="center" readingOrder="0" shrinkToFit="0" vertical="center" wrapText="1"/>
    </xf>
    <xf borderId="6" fillId="0" fontId="3" numFmtId="172" xfId="0" applyAlignment="1" applyBorder="1" applyFont="1" applyNumberFormat="1">
      <alignment horizontal="center" readingOrder="0" shrinkToFit="0" vertical="center" wrapText="1"/>
    </xf>
    <xf borderId="6" fillId="0" fontId="3" numFmtId="0" xfId="0" applyAlignment="1" applyBorder="1" applyFont="1">
      <alignment horizontal="left" readingOrder="0" shrinkToFit="0" vertical="center" wrapText="1"/>
    </xf>
    <xf borderId="6" fillId="0" fontId="7" numFmtId="165" xfId="0" applyAlignment="1" applyBorder="1" applyFont="1" applyNumberFormat="1">
      <alignment horizontal="center" shrinkToFit="0" vertical="center" wrapText="1"/>
    </xf>
    <xf borderId="6" fillId="0" fontId="3" numFmtId="9" xfId="0" applyAlignment="1" applyBorder="1" applyFont="1" applyNumberFormat="1">
      <alignment horizontal="center" shrinkToFit="0" vertical="center" wrapText="1"/>
    </xf>
    <xf borderId="6" fillId="0" fontId="3" numFmtId="9" xfId="0" applyAlignment="1" applyBorder="1" applyFont="1" applyNumberFormat="1">
      <alignment horizontal="center" readingOrder="0" shrinkToFit="0" vertical="center" wrapText="1"/>
    </xf>
    <xf borderId="6" fillId="0" fontId="7" numFmtId="0" xfId="0" applyAlignment="1" applyBorder="1" applyFont="1">
      <alignment horizontal="left" readingOrder="0" shrinkToFit="0" vertical="center" wrapText="1"/>
    </xf>
    <xf borderId="6" fillId="0" fontId="6" numFmtId="0" xfId="0" applyAlignment="1" applyBorder="1" applyFont="1">
      <alignment horizontal="left" readingOrder="0" shrinkToFit="0" vertical="center" wrapText="1"/>
    </xf>
    <xf borderId="6" fillId="5" fontId="8" numFmtId="165" xfId="0" applyAlignment="1" applyBorder="1" applyFont="1" applyNumberFormat="1">
      <alignment horizontal="center" shrinkToFit="0" vertical="center" wrapText="1"/>
    </xf>
    <xf borderId="6" fillId="0" fontId="9" numFmtId="0" xfId="0" applyAlignment="1" applyBorder="1" applyFont="1">
      <alignment readingOrder="0" shrinkToFit="0" wrapText="0"/>
    </xf>
    <xf borderId="6" fillId="0" fontId="10" numFmtId="173" xfId="0" applyAlignment="1" applyBorder="1" applyFont="1" applyNumberFormat="1">
      <alignment horizontal="center" readingOrder="0"/>
    </xf>
    <xf borderId="6" fillId="0" fontId="3" numFmtId="0" xfId="0" applyAlignment="1" applyBorder="1" applyFont="1">
      <alignment horizontal="left" shrinkToFit="0" vertical="center" wrapText="1"/>
    </xf>
    <xf borderId="6" fillId="0" fontId="11" numFmtId="0" xfId="0" applyAlignment="1" applyBorder="1" applyFont="1">
      <alignment horizontal="left" readingOrder="0"/>
    </xf>
    <xf borderId="6" fillId="0" fontId="12" numFmtId="0" xfId="0" applyAlignment="1" applyBorder="1" applyFont="1">
      <alignment horizontal="left" readingOrder="0" shrinkToFit="0" vertical="center" wrapText="1"/>
    </xf>
    <xf borderId="6" fillId="0" fontId="11" numFmtId="0" xfId="0" applyAlignment="1" applyBorder="1" applyFont="1">
      <alignment horizontal="left" readingOrder="0"/>
    </xf>
    <xf borderId="6" fillId="0" fontId="7" numFmtId="0" xfId="0" applyAlignment="1" applyBorder="1" applyFont="1">
      <alignment horizontal="left" readingOrder="0" shrinkToFit="0" vertical="center" wrapText="0"/>
    </xf>
    <xf borderId="6" fillId="6" fontId="11" numFmtId="0" xfId="0" applyAlignment="1" applyBorder="1" applyFill="1" applyFont="1">
      <alignment horizontal="left" readingOrder="0"/>
    </xf>
    <xf borderId="6" fillId="6" fontId="13" numFmtId="0" xfId="0" applyAlignment="1" applyBorder="1" applyFont="1">
      <alignment horizontal="left" readingOrder="0"/>
    </xf>
    <xf borderId="6" fillId="6" fontId="13" numFmtId="0" xfId="0" applyAlignment="1" applyBorder="1" applyFont="1">
      <alignment horizontal="left" readingOrder="0" shrinkToFit="0" wrapText="1"/>
    </xf>
    <xf borderId="6" fillId="0" fontId="5" numFmtId="174" xfId="0" applyAlignment="1" applyBorder="1" applyFont="1" applyNumberFormat="1">
      <alignment horizontal="center" readingOrder="0" shrinkToFit="0" vertical="center" wrapText="1"/>
    </xf>
    <xf borderId="6" fillId="0" fontId="7" numFmtId="173" xfId="0" applyAlignment="1" applyBorder="1" applyFont="1" applyNumberFormat="1">
      <alignment horizontal="center" readingOrder="0" shrinkToFit="0" vertical="center" wrapText="1"/>
    </xf>
    <xf borderId="6" fillId="0" fontId="2" numFmtId="0" xfId="0" applyAlignment="1" applyBorder="1" applyFont="1">
      <alignment horizontal="left" shrinkToFit="0" vertical="center" wrapText="0"/>
    </xf>
    <xf borderId="6" fillId="0" fontId="14" numFmtId="0" xfId="0" applyAlignment="1" applyBorder="1" applyFont="1">
      <alignment horizontal="left" readingOrder="0" shrinkToFit="0" wrapText="0"/>
    </xf>
    <xf borderId="6" fillId="0" fontId="15" numFmtId="0" xfId="0" applyAlignment="1" applyBorder="1" applyFont="1">
      <alignment horizontal="left" shrinkToFit="0" vertical="center" wrapText="0"/>
    </xf>
    <xf borderId="6" fillId="0" fontId="15" numFmtId="164" xfId="0" applyAlignment="1" applyBorder="1" applyFont="1" applyNumberFormat="1">
      <alignment horizontal="center" shrinkToFit="0" vertical="center" wrapText="0"/>
    </xf>
    <xf borderId="6" fillId="0" fontId="15" numFmtId="0" xfId="0" applyAlignment="1" applyBorder="1" applyFont="1">
      <alignment horizontal="center" shrinkToFit="0" vertical="bottom" wrapText="0"/>
    </xf>
    <xf borderId="6" fillId="0" fontId="16" numFmtId="0" xfId="0" applyAlignment="1" applyBorder="1" applyFont="1">
      <alignment horizontal="center" shrinkToFit="0" vertical="center" wrapText="1"/>
    </xf>
    <xf borderId="6" fillId="0" fontId="17" numFmtId="0" xfId="0" applyAlignment="1" applyBorder="1" applyFont="1">
      <alignment horizontal="center" shrinkToFit="0" vertical="center" wrapText="1"/>
    </xf>
    <xf borderId="6" fillId="0" fontId="15" numFmtId="166" xfId="0" applyAlignment="1" applyBorder="1" applyFont="1" applyNumberFormat="1">
      <alignment horizontal="center" shrinkToFit="0" vertical="bottom" wrapText="0"/>
    </xf>
    <xf borderId="6" fillId="0" fontId="17" numFmtId="165" xfId="0" applyAlignment="1" applyBorder="1" applyFont="1" applyNumberFormat="1">
      <alignment horizontal="center" shrinkToFit="0" vertical="center" wrapText="1"/>
    </xf>
    <xf borderId="6" fillId="0" fontId="16" numFmtId="0" xfId="0" applyAlignment="1" applyBorder="1" applyFont="1">
      <alignment horizontal="left" shrinkToFit="0" vertical="center" wrapText="0"/>
    </xf>
    <xf borderId="0" fillId="0" fontId="18" numFmtId="0" xfId="0" applyFont="1"/>
    <xf borderId="6" fillId="0" fontId="19" numFmtId="0" xfId="0" applyAlignment="1" applyBorder="1" applyFont="1">
      <alignment horizontal="left" shrinkToFit="0" vertical="center" wrapText="0"/>
    </xf>
    <xf borderId="6" fillId="0" fontId="14" numFmtId="0" xfId="0" applyAlignment="1" applyBorder="1" applyFont="1">
      <alignment horizontal="left" readingOrder="0"/>
    </xf>
    <xf borderId="6" fillId="0" fontId="14" numFmtId="164" xfId="0" applyAlignment="1" applyBorder="1" applyFont="1" applyNumberFormat="1">
      <alignment horizontal="center" readingOrder="0" shrinkToFit="0" wrapText="0"/>
    </xf>
    <xf borderId="6" fillId="0" fontId="20" numFmtId="0" xfId="0" applyAlignment="1" applyBorder="1" applyFont="1">
      <alignment horizontal="center" readingOrder="0"/>
    </xf>
    <xf borderId="6" fillId="0" fontId="21" numFmtId="0" xfId="0" applyAlignment="1" applyBorder="1" applyFont="1">
      <alignment horizontal="center"/>
    </xf>
    <xf borderId="6" fillId="0" fontId="20" numFmtId="173" xfId="0" applyAlignment="1" applyBorder="1" applyFont="1" applyNumberFormat="1">
      <alignment horizontal="center" readingOrder="0"/>
    </xf>
    <xf borderId="6" fillId="0" fontId="14" numFmtId="0" xfId="0" applyAlignment="1" applyBorder="1" applyFont="1">
      <alignment horizontal="center" readingOrder="0"/>
    </xf>
    <xf borderId="6" fillId="0" fontId="22" numFmtId="165" xfId="0" applyAlignment="1" applyBorder="1" applyFont="1" applyNumberFormat="1">
      <alignment horizontal="right" readingOrder="0" shrinkToFit="0" vertical="bottom" wrapText="0"/>
    </xf>
    <xf borderId="6" fillId="0" fontId="23" numFmtId="165" xfId="0" applyAlignment="1" applyBorder="1" applyFont="1" applyNumberFormat="1">
      <alignment horizontal="center" readingOrder="0"/>
    </xf>
    <xf borderId="6" fillId="0" fontId="23" numFmtId="175" xfId="0" applyAlignment="1" applyBorder="1" applyFont="1" applyNumberFormat="1">
      <alignment horizontal="center" readingOrder="0"/>
    </xf>
    <xf borderId="6" fillId="0" fontId="23" numFmtId="176" xfId="0" applyAlignment="1" applyBorder="1" applyFont="1" applyNumberFormat="1">
      <alignment horizontal="center" readingOrder="0"/>
    </xf>
    <xf borderId="6" fillId="0" fontId="22" numFmtId="164" xfId="0" applyAlignment="1" applyBorder="1" applyFont="1" applyNumberFormat="1">
      <alignment horizontal="center" shrinkToFit="0" wrapText="0"/>
    </xf>
    <xf borderId="6" fillId="0" fontId="22" numFmtId="0" xfId="0" applyAlignment="1" applyBorder="1" applyFont="1">
      <alignment horizontal="center" readingOrder="0"/>
    </xf>
    <xf borderId="6" fillId="0" fontId="23" numFmtId="173" xfId="0" applyAlignment="1" applyBorder="1" applyFont="1" applyNumberFormat="1">
      <alignment horizontal="center" readingOrder="0"/>
    </xf>
    <xf borderId="6" fillId="0" fontId="24" numFmtId="0" xfId="0" applyAlignment="1" applyBorder="1" applyFont="1">
      <alignment horizontal="center" readingOrder="0"/>
    </xf>
    <xf borderId="6" fillId="0" fontId="2" numFmtId="0" xfId="0" applyAlignment="1" applyBorder="1" applyFont="1">
      <alignment horizontal="center" shrinkToFit="0" vertical="center" wrapText="0"/>
    </xf>
    <xf borderId="6" fillId="0" fontId="9" numFmtId="0" xfId="0" applyAlignment="1" applyBorder="1" applyFont="1">
      <alignment horizontal="left" readingOrder="0" shrinkToFit="0" wrapText="0"/>
    </xf>
    <xf borderId="6" fillId="0" fontId="11" numFmtId="0" xfId="0" applyAlignment="1" applyBorder="1" applyFont="1">
      <alignment horizontal="left" readingOrder="0" shrinkToFit="0" wrapText="0"/>
    </xf>
    <xf borderId="6" fillId="0" fontId="25" numFmtId="0" xfId="0" applyAlignment="1" applyBorder="1" applyFont="1">
      <alignment horizontal="center" readingOrder="0" vertical="bottom"/>
    </xf>
    <xf borderId="6" fillId="0" fontId="12" numFmtId="0" xfId="0" applyAlignment="1" applyBorder="1" applyFont="1">
      <alignment horizontal="left" readingOrder="0" shrinkToFit="0" vertical="center" wrapText="1"/>
    </xf>
    <xf borderId="6" fillId="0" fontId="26" numFmtId="0" xfId="0" applyAlignment="1" applyBorder="1" applyFont="1">
      <alignment horizontal="left" readingOrder="0" shrinkToFit="0" vertical="center" wrapText="1"/>
    </xf>
    <xf borderId="0" fillId="6" fontId="27" numFmtId="0" xfId="0" applyAlignment="1" applyFont="1">
      <alignment readingOrder="0"/>
    </xf>
    <xf borderId="12" fillId="0" fontId="27" numFmtId="0" xfId="0" applyAlignment="1" applyBorder="1" applyFont="1">
      <alignment readingOrder="0"/>
    </xf>
    <xf borderId="0" fillId="6" fontId="28" numFmtId="0" xfId="0" applyAlignment="1" applyFont="1">
      <alignment readingOrder="0"/>
    </xf>
    <xf borderId="0" fillId="0" fontId="3" numFmtId="0" xfId="0" applyAlignment="1" applyFont="1">
      <alignment horizontal="center" shrinkToFit="0" vertical="center" wrapText="1"/>
    </xf>
    <xf borderId="6" fillId="0" fontId="11" numFmtId="0" xfId="0" applyAlignment="1" applyBorder="1" applyFont="1">
      <alignment readingOrder="0"/>
    </xf>
    <xf borderId="6" fillId="6" fontId="29" numFmtId="0" xfId="0" applyAlignment="1" applyBorder="1" applyFont="1">
      <alignment horizontal="left" readingOrder="0" shrinkToFit="0" wrapText="0"/>
    </xf>
    <xf borderId="6" fillId="6" fontId="29" numFmtId="173" xfId="0" applyAlignment="1" applyBorder="1" applyFont="1" applyNumberFormat="1">
      <alignment horizontal="right" readingOrder="0" shrinkToFit="0" vertical="bottom" wrapText="0"/>
    </xf>
    <xf borderId="0" fillId="0" fontId="6" numFmtId="166" xfId="0" applyAlignment="1" applyFont="1" applyNumberFormat="1">
      <alignment horizontal="center" readingOrder="0" shrinkToFit="0" vertical="bottom" wrapText="0"/>
    </xf>
    <xf borderId="6" fillId="5" fontId="29" numFmtId="0" xfId="0" applyAlignment="1" applyBorder="1" applyFont="1">
      <alignment readingOrder="0" shrinkToFit="0" wrapText="0"/>
    </xf>
    <xf borderId="6" fillId="5" fontId="29" numFmtId="0" xfId="0" applyAlignment="1" applyBorder="1" applyFont="1">
      <alignment horizontal="right" shrinkToFit="0" vertical="bottom" wrapText="0"/>
    </xf>
    <xf borderId="6" fillId="6" fontId="29" numFmtId="0" xfId="0" applyAlignment="1" applyBorder="1" applyFont="1">
      <alignment readingOrder="0" shrinkToFit="0" wrapText="0"/>
    </xf>
    <xf borderId="6" fillId="5" fontId="29" numFmtId="0" xfId="0" applyAlignment="1" applyBorder="1" applyFont="1">
      <alignment horizontal="left" shrinkToFit="0" wrapText="0"/>
    </xf>
    <xf borderId="6" fillId="6" fontId="30" numFmtId="0" xfId="0" applyAlignment="1" applyBorder="1" applyFont="1">
      <alignment readingOrder="0"/>
    </xf>
    <xf borderId="6" fillId="5" fontId="30" numFmtId="0" xfId="0" applyAlignment="1" applyBorder="1" applyFont="1">
      <alignment readingOrder="0"/>
    </xf>
    <xf borderId="6" fillId="6" fontId="30" numFmtId="0" xfId="0" applyAlignment="1" applyBorder="1" applyFont="1">
      <alignment horizontal="left" readingOrder="0"/>
    </xf>
    <xf borderId="6" fillId="6" fontId="29" numFmtId="175" xfId="0" applyAlignment="1" applyBorder="1" applyFont="1" applyNumberFormat="1">
      <alignment horizontal="right" readingOrder="0" shrinkToFit="0" vertical="bottom" wrapText="0"/>
    </xf>
    <xf borderId="6" fillId="7" fontId="31" numFmtId="0" xfId="0" applyAlignment="1" applyBorder="1" applyFill="1" applyFont="1">
      <alignment horizontal="right" shrinkToFit="0" vertical="bottom" wrapText="0"/>
    </xf>
    <xf borderId="6" fillId="0" fontId="7" numFmtId="0" xfId="0" applyAlignment="1" applyBorder="1" applyFont="1">
      <alignment horizontal="left" readingOrder="0" shrinkToFit="0" vertical="center" wrapText="0"/>
    </xf>
    <xf borderId="6" fillId="0" fontId="7" numFmtId="9" xfId="0" applyAlignment="1" applyBorder="1" applyFont="1" applyNumberFormat="1">
      <alignment horizontal="center" readingOrder="0" shrinkToFit="0" vertical="center" wrapText="1"/>
    </xf>
    <xf borderId="6" fillId="8" fontId="6" numFmtId="164" xfId="0" applyAlignment="1" applyBorder="1" applyFill="1" applyFont="1" applyNumberFormat="1">
      <alignment horizontal="center" shrinkToFit="0" vertical="center" wrapText="0"/>
    </xf>
    <xf borderId="6" fillId="0" fontId="7" numFmtId="173" xfId="0" applyAlignment="1" applyBorder="1" applyFont="1" applyNumberFormat="1">
      <alignment horizontal="center" vertical="bottom"/>
    </xf>
    <xf borderId="6" fillId="0" fontId="5" numFmtId="173" xfId="0" applyAlignment="1" applyBorder="1" applyFont="1" applyNumberFormat="1">
      <alignment horizontal="center" readingOrder="0" shrinkToFit="0" vertical="center" wrapText="1"/>
    </xf>
    <xf borderId="6" fillId="0" fontId="3" numFmtId="9" xfId="0" applyAlignment="1" applyBorder="1" applyFont="1" applyNumberFormat="1">
      <alignment horizontal="center" shrinkToFit="0" wrapText="1"/>
    </xf>
    <xf borderId="6" fillId="0" fontId="7" numFmtId="0" xfId="0" applyAlignment="1" applyBorder="1" applyFont="1">
      <alignment horizontal="left"/>
    </xf>
    <xf borderId="6" fillId="0" fontId="2" numFmtId="0" xfId="0" applyAlignment="1" applyBorder="1" applyFont="1">
      <alignment horizontal="left" readingOrder="0" shrinkToFit="0" vertical="center" wrapText="1"/>
    </xf>
    <xf borderId="6" fillId="5" fontId="12" numFmtId="0" xfId="0" applyAlignment="1" applyBorder="1" applyFont="1">
      <alignment horizontal="left" readingOrder="0" shrinkToFit="0" vertical="center" wrapText="1"/>
    </xf>
    <xf borderId="6" fillId="0" fontId="25" numFmtId="0" xfId="0" applyAlignment="1" applyBorder="1" applyFont="1">
      <alignment horizontal="center" vertical="bottom"/>
    </xf>
    <xf borderId="6" fillId="0" fontId="7" numFmtId="0" xfId="0" applyAlignment="1" applyBorder="1" applyFont="1">
      <alignment horizontal="center" readingOrder="0" shrinkToFit="0" vertical="center" wrapText="1"/>
    </xf>
    <xf borderId="6" fillId="0" fontId="32" numFmtId="0" xfId="0" applyAlignment="1" applyBorder="1" applyFont="1">
      <alignment horizontal="left" readingOrder="0" shrinkToFit="0" wrapText="0"/>
    </xf>
    <xf borderId="6" fillId="0" fontId="7" numFmtId="0" xfId="0" applyAlignment="1" applyBorder="1" applyFont="1">
      <alignment horizontal="center" readingOrder="0"/>
    </xf>
    <xf borderId="6" fillId="0" fontId="5" numFmtId="0" xfId="0" applyAlignment="1" applyBorder="1" applyFont="1">
      <alignment horizontal="center"/>
    </xf>
    <xf borderId="6" fillId="0" fontId="10" numFmtId="166" xfId="0" applyAlignment="1" applyBorder="1" applyFont="1" applyNumberFormat="1">
      <alignment horizontal="center" readingOrder="0"/>
    </xf>
    <xf borderId="6" fillId="0" fontId="10" numFmtId="0" xfId="0" applyAlignment="1" applyBorder="1" applyFont="1">
      <alignment horizontal="left" readingOrder="0"/>
    </xf>
    <xf borderId="6" fillId="0" fontId="33" numFmtId="165" xfId="0" applyAlignment="1" applyBorder="1" applyFont="1" applyNumberFormat="1">
      <alignment horizontal="center" readingOrder="0"/>
    </xf>
    <xf borderId="6" fillId="0" fontId="34" numFmtId="165" xfId="0" applyAlignment="1" applyBorder="1" applyFont="1" applyNumberFormat="1">
      <alignment horizontal="center" readingOrder="0" shrinkToFit="0" wrapText="0"/>
    </xf>
    <xf borderId="6" fillId="0" fontId="33" numFmtId="173" xfId="0" applyAlignment="1" applyBorder="1" applyFont="1" applyNumberFormat="1">
      <alignment horizontal="center" readingOrder="0"/>
    </xf>
    <xf borderId="6" fillId="0" fontId="10" numFmtId="9" xfId="0" applyAlignment="1" applyBorder="1" applyFont="1" applyNumberFormat="1">
      <alignment horizontal="center" readingOrder="0"/>
    </xf>
    <xf borderId="6" fillId="0" fontId="10" numFmtId="0" xfId="0" applyAlignment="1" applyBorder="1" applyFont="1">
      <alignment horizontal="left" readingOrder="0" shrinkToFit="0" wrapText="0"/>
    </xf>
    <xf borderId="6" fillId="0" fontId="7" numFmtId="0" xfId="0" applyAlignment="1" applyBorder="1" applyFont="1">
      <alignment horizontal="left" readingOrder="0" shrinkToFit="0" vertical="center" wrapText="1"/>
    </xf>
    <xf borderId="6" fillId="0" fontId="2" numFmtId="0" xfId="0" applyAlignment="1" applyBorder="1" applyFont="1">
      <alignment horizontal="center" shrinkToFit="0" vertical="bottom" wrapText="0"/>
    </xf>
    <xf borderId="6" fillId="0" fontId="12" numFmtId="0" xfId="0" applyAlignment="1" applyBorder="1" applyFont="1">
      <alignment horizontal="left" readingOrder="0" shrinkToFit="0" vertical="center" wrapText="0"/>
    </xf>
    <xf borderId="6" fillId="0" fontId="35" numFmtId="0" xfId="0" applyAlignment="1" applyBorder="1" applyFont="1">
      <alignment horizontal="left" readingOrder="0" shrinkToFit="0" vertical="center" wrapText="0"/>
    </xf>
    <xf borderId="6" fillId="0" fontId="2" numFmtId="164" xfId="0" applyAlignment="1" applyBorder="1" applyFont="1" applyNumberFormat="1">
      <alignment horizontal="center" readingOrder="0" shrinkToFit="0" vertical="center" wrapText="0"/>
    </xf>
    <xf borderId="6" fillId="0" fontId="2"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6" fillId="0" fontId="12" numFmtId="165" xfId="0" applyAlignment="1" applyBorder="1" applyFont="1" applyNumberFormat="1">
      <alignment horizontal="center" shrinkToFit="0" vertical="center" wrapText="1"/>
    </xf>
    <xf borderId="6" fillId="0" fontId="12" numFmtId="169" xfId="0" applyAlignment="1" applyBorder="1" applyFont="1" applyNumberFormat="1">
      <alignment horizontal="center" shrinkToFit="0" vertical="center" wrapText="1"/>
    </xf>
    <xf borderId="6" fillId="6" fontId="6" numFmtId="15" xfId="0" applyAlignment="1" applyBorder="1" applyFont="1" applyNumberFormat="1">
      <alignment horizontal="center" shrinkToFit="0" vertical="center" wrapText="1"/>
    </xf>
    <xf borderId="6" fillId="0" fontId="2" numFmtId="9" xfId="0" applyAlignment="1" applyBorder="1" applyFont="1" applyNumberFormat="1">
      <alignment horizontal="center" shrinkToFit="0" vertical="center" wrapText="1"/>
    </xf>
    <xf borderId="6" fillId="0" fontId="2" numFmtId="9" xfId="0" applyAlignment="1" applyBorder="1" applyFont="1" applyNumberFormat="1">
      <alignment horizontal="center" readingOrder="0" shrinkToFit="0" vertical="center" wrapText="1"/>
    </xf>
    <xf borderId="6" fillId="0" fontId="6" numFmtId="164" xfId="0" applyAlignment="1" applyBorder="1" applyFont="1" applyNumberFormat="1">
      <alignment horizontal="center" readingOrder="0" shrinkToFit="0" vertical="center" wrapText="0"/>
    </xf>
    <xf borderId="6" fillId="0" fontId="6" numFmtId="0" xfId="0" applyAlignment="1" applyBorder="1" applyFont="1">
      <alignment horizontal="center" readingOrder="0" shrinkToFit="0" vertical="center" wrapText="1"/>
    </xf>
    <xf borderId="6" fillId="0" fontId="12" numFmtId="165" xfId="0" applyAlignment="1" applyBorder="1" applyFont="1" applyNumberFormat="1">
      <alignment horizontal="center" readingOrder="0" shrinkToFit="0" vertical="center" wrapText="1"/>
    </xf>
    <xf borderId="6" fillId="0" fontId="12" numFmtId="177" xfId="0" applyAlignment="1" applyBorder="1" applyFont="1" applyNumberFormat="1">
      <alignment horizontal="center" readingOrder="0" shrinkToFit="0" vertical="center" wrapText="1"/>
    </xf>
    <xf borderId="6" fillId="6" fontId="6" numFmtId="15" xfId="0" applyAlignment="1" applyBorder="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6" fillId="0" fontId="12" numFmtId="169" xfId="0" applyAlignment="1" applyBorder="1" applyFont="1" applyNumberFormat="1">
      <alignment horizontal="center" readingOrder="0" shrinkToFit="0" vertical="center" wrapText="1"/>
    </xf>
    <xf borderId="6" fillId="0" fontId="6" numFmtId="0" xfId="0" applyAlignment="1" applyBorder="1" applyFont="1">
      <alignment horizontal="left" readingOrder="0" shrinkToFit="0" vertical="center" wrapText="0"/>
    </xf>
    <xf borderId="1" fillId="0" fontId="6" numFmtId="164" xfId="0" applyAlignment="1" applyBorder="1" applyFont="1" applyNumberFormat="1">
      <alignment horizontal="center" readingOrder="0" shrinkToFit="0" vertical="center" wrapText="0"/>
    </xf>
    <xf borderId="6" fillId="0" fontId="3" numFmtId="0" xfId="0" applyAlignment="1" applyBorder="1" applyFont="1">
      <alignment horizontal="center" shrinkToFit="0" vertical="center" wrapText="0"/>
    </xf>
    <xf borderId="6" fillId="0" fontId="7" numFmtId="0" xfId="0" applyAlignment="1" applyBorder="1" applyFont="1">
      <alignment horizontal="left" shrinkToFit="0" vertical="center" wrapText="0"/>
    </xf>
    <xf borderId="6" fillId="0" fontId="7" numFmtId="164" xfId="0" applyAlignment="1" applyBorder="1" applyFont="1" applyNumberFormat="1">
      <alignment horizontal="center" shrinkToFit="0" vertical="center" wrapText="0"/>
    </xf>
    <xf borderId="6" fillId="0" fontId="7" numFmtId="0" xfId="0" applyAlignment="1" applyBorder="1" applyFont="1">
      <alignment horizontal="center" shrinkToFit="0" vertical="center" wrapText="0"/>
    </xf>
    <xf borderId="6" fillId="0" fontId="7" numFmtId="0" xfId="0" applyAlignment="1" applyBorder="1" applyFont="1">
      <alignment horizontal="center" shrinkToFit="0" vertical="center" wrapText="1"/>
    </xf>
    <xf borderId="6" fillId="0" fontId="7" numFmtId="166" xfId="0" applyAlignment="1" applyBorder="1" applyFont="1" applyNumberFormat="1">
      <alignment horizontal="center" shrinkToFit="0" vertical="center" wrapText="0"/>
    </xf>
    <xf borderId="6" fillId="0" fontId="7" numFmtId="0" xfId="0" applyAlignment="1" applyBorder="1" applyFont="1">
      <alignment horizontal="center" readingOrder="0" shrinkToFit="0" vertical="center" wrapText="0"/>
    </xf>
    <xf borderId="6" fillId="0" fontId="7" numFmtId="166" xfId="0" applyAlignment="1" applyBorder="1" applyFont="1" applyNumberFormat="1">
      <alignment horizontal="center" readingOrder="0" shrinkToFit="0" vertical="center" wrapText="0"/>
    </xf>
    <xf borderId="6" fillId="0" fontId="7" numFmtId="169" xfId="0" applyAlignment="1" applyBorder="1" applyFont="1" applyNumberFormat="1">
      <alignment horizontal="center" readingOrder="0" shrinkToFit="0" vertical="center" wrapText="1"/>
    </xf>
    <xf borderId="6" fillId="0" fontId="7" numFmtId="169" xfId="0" applyAlignment="1" applyBorder="1" applyFont="1" applyNumberFormat="1">
      <alignment horizontal="center" shrinkToFit="0" vertical="center" wrapText="1"/>
    </xf>
    <xf borderId="6" fillId="0" fontId="7" numFmtId="178"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0"/>
    </xf>
    <xf borderId="6" fillId="0" fontId="36" numFmtId="0" xfId="0" applyAlignment="1" applyBorder="1" applyFont="1">
      <alignment horizontal="center" shrinkToFit="0" vertical="center" wrapText="0"/>
    </xf>
    <xf borderId="6" fillId="0" fontId="37" numFmtId="164" xfId="0" applyAlignment="1" applyBorder="1" applyFont="1" applyNumberFormat="1">
      <alignment horizontal="center" shrinkToFit="0" vertical="center" wrapText="0"/>
    </xf>
    <xf borderId="6" fillId="0" fontId="2" numFmtId="49" xfId="0" applyAlignment="1" applyBorder="1" applyFont="1" applyNumberFormat="1">
      <alignment shrinkToFit="0" vertical="bottom" wrapText="0"/>
    </xf>
    <xf borderId="6" fillId="0" fontId="38" numFmtId="0" xfId="0" applyAlignment="1" applyBorder="1" applyFont="1">
      <alignment horizontal="left" shrinkToFit="0" vertical="bottom" wrapText="1"/>
    </xf>
    <xf borderId="6" fillId="0" fontId="7" numFmtId="179" xfId="0" applyAlignment="1" applyBorder="1" applyFont="1" applyNumberFormat="1">
      <alignment horizontal="center" shrinkToFit="0" vertical="bottom" wrapText="0"/>
    </xf>
    <xf borderId="6" fillId="0" fontId="7" numFmtId="180" xfId="0" applyAlignment="1" applyBorder="1" applyFont="1" applyNumberFormat="1">
      <alignment horizontal="center" shrinkToFit="0" vertical="bottom" wrapText="0"/>
    </xf>
    <xf borderId="6" fillId="0" fontId="6" numFmtId="0" xfId="0" applyAlignment="1" applyBorder="1" applyFont="1">
      <alignment shrinkToFit="0" vertical="bottom" wrapText="0"/>
    </xf>
    <xf borderId="6" fillId="0" fontId="6" numFmtId="165" xfId="0" applyAlignment="1" applyBorder="1" applyFont="1" applyNumberFormat="1">
      <alignment shrinkToFit="0" vertical="bottom" wrapText="0"/>
    </xf>
    <xf borderId="6" fillId="0" fontId="6" numFmtId="0" xfId="0" applyAlignment="1" applyBorder="1" applyFont="1">
      <alignment horizontal="left" shrinkToFit="0" vertical="bottom" wrapText="0"/>
    </xf>
    <xf borderId="0" fillId="0" fontId="6" numFmtId="164" xfId="0" applyAlignment="1" applyFont="1" applyNumberFormat="1">
      <alignment horizontal="center" shrinkToFit="0" vertical="bottom" wrapText="0"/>
    </xf>
    <xf borderId="0" fillId="0" fontId="6" numFmtId="165" xfId="0" applyAlignment="1" applyFont="1" applyNumberFormat="1">
      <alignment shrinkToFit="0" vertical="bottom" wrapText="0"/>
    </xf>
    <xf borderId="0" fillId="0" fontId="6" numFmtId="0" xfId="0" applyAlignment="1" applyFont="1">
      <alignment horizontal="center" shrinkToFit="0" vertical="bottom" wrapText="0"/>
    </xf>
    <xf borderId="0" fillId="0" fontId="39" numFmtId="0" xfId="0" applyAlignment="1" applyFont="1">
      <alignment horizontal="left"/>
    </xf>
    <xf borderId="13" fillId="9" fontId="2" numFmtId="0" xfId="0" applyAlignment="1" applyBorder="1" applyFill="1" applyFont="1">
      <alignment horizontal="left" shrinkToFit="0" vertical="bottom" wrapText="1"/>
    </xf>
    <xf borderId="14" fillId="10" fontId="37" numFmtId="164" xfId="0" applyAlignment="1" applyBorder="1" applyFill="1" applyFont="1" applyNumberFormat="1">
      <alignment horizontal="center" shrinkToFit="0" vertical="bottom" wrapText="0"/>
    </xf>
    <xf borderId="15" fillId="0" fontId="2" numFmtId="0" xfId="0" applyAlignment="1" applyBorder="1" applyFont="1">
      <alignment horizontal="left" shrinkToFit="0" vertical="bottom" wrapText="1"/>
    </xf>
    <xf borderId="16" fillId="0" fontId="6" numFmtId="164" xfId="0" applyAlignment="1" applyBorder="1" applyFont="1" applyNumberFormat="1">
      <alignment horizontal="center" shrinkToFit="0" vertical="bottom" wrapText="0"/>
    </xf>
    <xf borderId="0" fillId="0" fontId="6" numFmtId="0" xfId="0" applyAlignment="1" applyFont="1">
      <alignment horizontal="left" shrinkToFit="0" vertical="bottom" wrapText="1"/>
    </xf>
    <xf borderId="17" fillId="0" fontId="2" numFmtId="0" xfId="0" applyAlignment="1" applyBorder="1" applyFont="1">
      <alignment horizontal="left" shrinkToFit="0" vertical="bottom" wrapText="1"/>
    </xf>
    <xf borderId="18" fillId="0" fontId="6" numFmtId="164" xfId="0" applyAlignment="1" applyBorder="1" applyFont="1" applyNumberFormat="1">
      <alignment horizontal="center" shrinkToFit="0" vertical="bottom" wrapText="0"/>
    </xf>
    <xf borderId="0" fillId="0" fontId="40" numFmtId="0" xfId="0" applyAlignment="1" applyFont="1">
      <alignment shrinkToFit="0" vertical="bottom" wrapText="0"/>
    </xf>
    <xf borderId="19" fillId="0" fontId="2" numFmtId="0" xfId="0" applyAlignment="1" applyBorder="1" applyFont="1">
      <alignment horizontal="left" shrinkToFit="0" vertical="bottom" wrapText="1"/>
    </xf>
    <xf borderId="20" fillId="0" fontId="6" numFmtId="164" xfId="0" applyAlignment="1" applyBorder="1" applyFont="1" applyNumberFormat="1">
      <alignment horizontal="center" shrinkToFit="0" vertical="bottom" wrapText="0"/>
    </xf>
    <xf borderId="1" fillId="2" fontId="36"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6" fillId="4" fontId="36" numFmtId="0" xfId="0" applyAlignment="1" applyBorder="1" applyFont="1">
      <alignment horizontal="left" shrinkToFit="0" vertical="center" wrapText="0"/>
    </xf>
    <xf borderId="6" fillId="4" fontId="36" numFmtId="0" xfId="0" applyAlignment="1" applyBorder="1" applyFont="1">
      <alignment horizontal="center" shrinkToFit="0" vertical="center" wrapText="0"/>
    </xf>
    <xf borderId="6" fillId="4" fontId="3" numFmtId="0" xfId="0" applyAlignment="1" applyBorder="1" applyFont="1">
      <alignment horizontal="center" shrinkToFit="0" vertical="center" wrapText="0"/>
    </xf>
    <xf borderId="6" fillId="0" fontId="36" numFmtId="0" xfId="0" applyAlignment="1" applyBorder="1" applyFont="1">
      <alignment horizontal="left" shrinkToFit="0" vertical="center" wrapText="0"/>
    </xf>
    <xf borderId="6" fillId="2" fontId="36" numFmtId="0" xfId="0" applyAlignment="1" applyBorder="1" applyFont="1">
      <alignment horizontal="left" shrinkToFit="0" vertical="center" wrapText="0"/>
    </xf>
    <xf borderId="6" fillId="2" fontId="36" numFmtId="0" xfId="0" applyAlignment="1" applyBorder="1" applyFont="1">
      <alignment horizontal="center" shrinkToFit="0" vertical="center" wrapText="0"/>
    </xf>
    <xf borderId="6" fillId="2" fontId="3" numFmtId="0" xfId="0" applyAlignment="1" applyBorder="1" applyFont="1">
      <alignment horizontal="center" shrinkToFit="0" vertical="center" wrapText="0"/>
    </xf>
    <xf borderId="6" fillId="2" fontId="36" numFmtId="166" xfId="0" applyAlignment="1" applyBorder="1" applyFont="1" applyNumberFormat="1">
      <alignment horizontal="center" shrinkToFit="0" vertical="center" wrapText="0"/>
    </xf>
    <xf borderId="6" fillId="0" fontId="41" numFmtId="0" xfId="0" applyAlignment="1" applyBorder="1" applyFont="1">
      <alignment horizontal="left" shrinkToFit="0" vertical="center" wrapText="1"/>
    </xf>
    <xf borderId="6" fillId="0" fontId="41" numFmtId="166" xfId="0" applyAlignment="1" applyBorder="1" applyFont="1" applyNumberFormat="1">
      <alignment horizontal="center" shrinkToFit="0" vertical="center" wrapText="0"/>
    </xf>
    <xf borderId="21" fillId="0" fontId="6" numFmtId="0" xfId="0" applyAlignment="1" applyBorder="1" applyFont="1">
      <alignment horizontal="center" shrinkToFit="0" vertical="bottom" wrapText="0"/>
    </xf>
    <xf borderId="14" fillId="10" fontId="36" numFmtId="15" xfId="0" applyAlignment="1" applyBorder="1" applyFont="1" applyNumberFormat="1">
      <alignment shrinkToFit="0" vertical="bottom" wrapText="0"/>
    </xf>
    <xf borderId="16" fillId="0" fontId="6" numFmtId="165" xfId="0" applyAlignment="1" applyBorder="1" applyFont="1" applyNumberFormat="1">
      <alignment shrinkToFit="0" vertical="bottom" wrapText="0"/>
    </xf>
    <xf borderId="18" fillId="0" fontId="6" numFmtId="165" xfId="0" applyAlignment="1" applyBorder="1" applyFont="1" applyNumberFormat="1">
      <alignment shrinkToFit="0" vertical="bottom" wrapText="0"/>
    </xf>
    <xf borderId="20" fillId="0" fontId="6" numFmtId="165" xfId="0" applyAlignment="1" applyBorder="1" applyFont="1" applyNumberFormat="1">
      <alignment shrinkToFit="0" vertical="bottom" wrapText="0"/>
    </xf>
    <xf borderId="6" fillId="2" fontId="41" numFmtId="0" xfId="0" applyAlignment="1" applyBorder="1" applyFont="1">
      <alignment horizontal="left" shrinkToFit="0" vertical="center" wrapText="0"/>
    </xf>
    <xf borderId="6" fillId="0" fontId="41" numFmtId="0" xfId="0" applyAlignment="1" applyBorder="1" applyFont="1">
      <alignment horizontal="left" shrinkToFit="0" vertical="center" wrapText="0"/>
    </xf>
    <xf borderId="6" fillId="0" fontId="41" numFmtId="0" xfId="0" applyAlignment="1" applyBorder="1" applyFont="1">
      <alignment horizontal="center" shrinkToFit="0" vertical="center" wrapText="0"/>
    </xf>
    <xf borderId="6" fillId="0" fontId="7" numFmtId="15"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0"/>
    </xf>
    <xf borderId="6" fillId="0" fontId="6" numFmtId="165" xfId="0" applyAlignment="1" applyBorder="1" applyFont="1" applyNumberFormat="1">
      <alignment horizontal="center" shrinkToFit="0" vertical="center" wrapText="0"/>
    </xf>
    <xf borderId="1" fillId="11" fontId="42" numFmtId="0" xfId="0" applyAlignment="1" applyBorder="1" applyFill="1" applyFont="1">
      <alignment horizontal="center" readingOrder="0" shrinkToFit="0" wrapText="0"/>
    </xf>
    <xf borderId="1" fillId="11" fontId="42" numFmtId="0" xfId="0" applyAlignment="1" applyBorder="1" applyFont="1">
      <alignment horizontal="center" readingOrder="0"/>
    </xf>
    <xf borderId="1" fillId="0" fontId="43" numFmtId="0" xfId="0" applyAlignment="1" applyBorder="1" applyFont="1">
      <alignment horizontal="center" readingOrder="0"/>
    </xf>
    <xf borderId="2" fillId="12" fontId="43" numFmtId="0" xfId="0" applyAlignment="1" applyBorder="1" applyFill="1" applyFont="1">
      <alignment horizontal="center" readingOrder="0"/>
    </xf>
    <xf borderId="1" fillId="0" fontId="42" numFmtId="0" xfId="0" applyAlignment="1" applyBorder="1" applyFont="1">
      <alignment horizontal="center" readingOrder="0"/>
    </xf>
    <xf borderId="2" fillId="11" fontId="42" numFmtId="0" xfId="0" applyAlignment="1" applyBorder="1" applyFont="1">
      <alignment horizontal="center" readingOrder="0" shrinkToFit="0" wrapText="0"/>
    </xf>
    <xf borderId="1" fillId="0" fontId="42" numFmtId="0" xfId="0" applyAlignment="1" applyBorder="1" applyFont="1">
      <alignment horizontal="center" readingOrder="0" shrinkToFit="0" wrapText="0"/>
    </xf>
    <xf borderId="1" fillId="12" fontId="43" numFmtId="0" xfId="0" applyAlignment="1" applyBorder="1" applyFont="1">
      <alignment horizontal="center" readingOrder="0"/>
    </xf>
    <xf borderId="5" fillId="11" fontId="42" numFmtId="0" xfId="0" applyAlignment="1" applyBorder="1" applyFont="1">
      <alignment horizontal="center" readingOrder="0"/>
    </xf>
    <xf borderId="6" fillId="11" fontId="42" numFmtId="0" xfId="0" applyAlignment="1" applyBorder="1" applyFont="1">
      <alignment horizontal="center" readingOrder="0"/>
    </xf>
    <xf borderId="6" fillId="12" fontId="44" numFmtId="0" xfId="0" applyAlignment="1" applyBorder="1" applyFont="1">
      <alignment horizontal="center" readingOrder="0"/>
    </xf>
    <xf borderId="8" fillId="11" fontId="45" numFmtId="0" xfId="0" applyAlignment="1" applyBorder="1" applyFont="1">
      <alignment horizontal="center" readingOrder="0"/>
    </xf>
    <xf borderId="3" fillId="12" fontId="44" numFmtId="0" xfId="0" applyAlignment="1" applyBorder="1" applyFont="1">
      <alignment horizontal="center" readingOrder="0"/>
    </xf>
    <xf borderId="6" fillId="4" fontId="46" numFmtId="0" xfId="0" applyAlignment="1" applyBorder="1" applyFont="1">
      <alignment horizontal="left" readingOrder="0" shrinkToFit="0" wrapText="0"/>
    </xf>
    <xf borderId="6" fillId="4" fontId="46" numFmtId="0" xfId="0" applyAlignment="1" applyBorder="1" applyFont="1">
      <alignment horizontal="center" shrinkToFit="0" wrapText="0"/>
    </xf>
    <xf borderId="6" fillId="4" fontId="43" numFmtId="0" xfId="0" applyAlignment="1" applyBorder="1" applyFont="1">
      <alignment horizontal="center"/>
    </xf>
    <xf borderId="6" fillId="4" fontId="44" numFmtId="0" xfId="0" applyAlignment="1" applyBorder="1" applyFont="1">
      <alignment horizontal="center"/>
    </xf>
    <xf borderId="6" fillId="4" fontId="42" numFmtId="0" xfId="0" applyAlignment="1" applyBorder="1" applyFont="1">
      <alignment horizontal="center"/>
    </xf>
    <xf borderId="6" fillId="4" fontId="45" numFmtId="0" xfId="0" applyAlignment="1" applyBorder="1" applyFont="1">
      <alignment horizontal="center"/>
    </xf>
    <xf borderId="6" fillId="4" fontId="42" numFmtId="0" xfId="0" applyAlignment="1" applyBorder="1" applyFont="1">
      <alignment horizontal="center" shrinkToFit="0" wrapText="0"/>
    </xf>
    <xf borderId="6" fillId="0" fontId="42" numFmtId="0" xfId="0" applyAlignment="1" applyBorder="1" applyFont="1">
      <alignment horizontal="left" shrinkToFit="0" wrapText="0"/>
    </xf>
    <xf borderId="6" fillId="0" fontId="42" numFmtId="0" xfId="0" applyAlignment="1" applyBorder="1" applyFont="1">
      <alignment horizontal="center" shrinkToFit="0" wrapText="0"/>
    </xf>
    <xf borderId="6" fillId="0" fontId="43" numFmtId="0" xfId="0" applyAlignment="1" applyBorder="1" applyFont="1">
      <alignment horizontal="center"/>
    </xf>
    <xf borderId="6" fillId="0" fontId="44" numFmtId="0" xfId="0" applyAlignment="1" applyBorder="1" applyFont="1">
      <alignment horizontal="center"/>
    </xf>
    <xf borderId="6" fillId="0" fontId="42" numFmtId="0" xfId="0" applyAlignment="1" applyBorder="1" applyFont="1">
      <alignment horizontal="center"/>
    </xf>
    <xf borderId="6" fillId="0" fontId="45" numFmtId="0" xfId="0" applyAlignment="1" applyBorder="1" applyFont="1">
      <alignment horizontal="center"/>
    </xf>
    <xf borderId="6" fillId="11" fontId="42" numFmtId="0" xfId="0" applyAlignment="1" applyBorder="1" applyFont="1">
      <alignment horizontal="left" readingOrder="0" shrinkToFit="0" wrapText="0"/>
    </xf>
    <xf borderId="6" fillId="11" fontId="42" numFmtId="0" xfId="0" applyAlignment="1" applyBorder="1" applyFont="1">
      <alignment horizontal="center" shrinkToFit="0" wrapText="0"/>
    </xf>
    <xf borderId="6" fillId="11" fontId="43" numFmtId="0" xfId="0" applyAlignment="1" applyBorder="1" applyFont="1">
      <alignment horizontal="center"/>
    </xf>
    <xf borderId="6" fillId="11" fontId="44" numFmtId="0" xfId="0" applyAlignment="1" applyBorder="1" applyFont="1">
      <alignment horizontal="center"/>
    </xf>
    <xf borderId="6" fillId="11" fontId="42" numFmtId="0" xfId="0" applyAlignment="1" applyBorder="1" applyFont="1">
      <alignment horizontal="center"/>
    </xf>
    <xf borderId="6" fillId="11" fontId="45" numFmtId="0" xfId="0" applyAlignment="1" applyBorder="1" applyFont="1">
      <alignment horizontal="center"/>
    </xf>
    <xf borderId="6" fillId="13" fontId="42" numFmtId="0" xfId="0" applyAlignment="1" applyBorder="1" applyFill="1" applyFont="1">
      <alignment horizontal="center" shrinkToFit="0" wrapText="0"/>
    </xf>
    <xf borderId="6" fillId="13" fontId="43" numFmtId="0" xfId="0" applyAlignment="1" applyBorder="1" applyFont="1">
      <alignment horizontal="left" readingOrder="0"/>
    </xf>
    <xf borderId="6" fillId="13" fontId="47" numFmtId="0" xfId="0" applyAlignment="1" applyBorder="1" applyFont="1">
      <alignment horizontal="center"/>
    </xf>
    <xf borderId="6" fillId="13" fontId="44" numFmtId="0" xfId="0" applyAlignment="1" applyBorder="1" applyFont="1">
      <alignment horizontal="center"/>
    </xf>
    <xf borderId="6" fillId="13" fontId="48" numFmtId="0" xfId="0" applyAlignment="1" applyBorder="1" applyFont="1">
      <alignment horizontal="center"/>
    </xf>
    <xf borderId="6" fillId="13" fontId="42" numFmtId="0" xfId="0" applyAlignment="1" applyBorder="1" applyFont="1">
      <alignment horizontal="center"/>
    </xf>
    <xf borderId="6" fillId="13" fontId="45" numFmtId="0" xfId="0" applyAlignment="1" applyBorder="1" applyFont="1">
      <alignment horizontal="center"/>
    </xf>
    <xf borderId="6" fillId="0" fontId="47" numFmtId="0" xfId="0" applyAlignment="1" applyBorder="1" applyFont="1">
      <alignment horizontal="left" readingOrder="0"/>
    </xf>
    <xf borderId="6" fillId="0" fontId="35" numFmtId="0" xfId="0" applyAlignment="1" applyBorder="1" applyFont="1">
      <alignment horizontal="center" readingOrder="0" shrinkToFit="0" wrapText="0"/>
    </xf>
    <xf borderId="6" fillId="0" fontId="47" numFmtId="0" xfId="0" applyAlignment="1" applyBorder="1" applyFont="1">
      <alignment horizontal="center" readingOrder="0"/>
    </xf>
    <xf borderId="6" fillId="0" fontId="48" numFmtId="0" xfId="0" applyAlignment="1" applyBorder="1" applyFont="1">
      <alignment horizontal="center" readingOrder="0"/>
    </xf>
    <xf borderId="0" fillId="0" fontId="47" numFmtId="0" xfId="0" applyAlignment="1" applyFont="1">
      <alignment readingOrder="0" vertical="bottom"/>
    </xf>
    <xf borderId="6" fillId="0" fontId="45" numFmtId="4" xfId="0" applyAlignment="1" applyBorder="1" applyFont="1" applyNumberFormat="1">
      <alignment horizontal="center" readingOrder="0"/>
    </xf>
    <xf borderId="0" fillId="0" fontId="49" numFmtId="0" xfId="0" applyAlignment="1" applyFont="1">
      <alignment horizontal="center" readingOrder="0" shrinkToFit="0" wrapText="0"/>
    </xf>
    <xf borderId="6" fillId="0" fontId="45" numFmtId="0" xfId="0" applyAlignment="1" applyBorder="1" applyFont="1">
      <alignment horizontal="center" readingOrder="0"/>
    </xf>
    <xf borderId="6" fillId="0" fontId="45" numFmtId="173" xfId="0" applyAlignment="1" applyBorder="1" applyFont="1" applyNumberFormat="1">
      <alignment horizontal="center" readingOrder="0"/>
    </xf>
    <xf borderId="6" fillId="0" fontId="42" numFmtId="0" xfId="0" applyAlignment="1" applyBorder="1" applyFont="1">
      <alignment horizontal="center" readingOrder="0"/>
    </xf>
    <xf borderId="6" fillId="0" fontId="48" numFmtId="0" xfId="0" applyAlignment="1" applyBorder="1" applyFont="1">
      <alignment horizontal="left" readingOrder="0"/>
    </xf>
    <xf borderId="6" fillId="0" fontId="47" numFmtId="0" xfId="0" applyAlignment="1" applyBorder="1" applyFont="1">
      <alignment readingOrder="0" vertical="top"/>
    </xf>
    <xf borderId="6" fillId="0" fontId="47" numFmtId="0" xfId="0" applyAlignment="1" applyBorder="1" applyFont="1">
      <alignment readingOrder="0" vertical="bottom"/>
    </xf>
    <xf borderId="6" fillId="0" fontId="48" numFmtId="0" xfId="0" applyAlignment="1" applyBorder="1" applyFont="1">
      <alignment horizontal="left" readingOrder="0" shrinkToFit="0" wrapText="1"/>
    </xf>
    <xf borderId="6" fillId="13" fontId="43" numFmtId="0" xfId="0" applyAlignment="1" applyBorder="1" applyFont="1">
      <alignment readingOrder="0" vertical="top"/>
    </xf>
    <xf borderId="6" fillId="13" fontId="47" numFmtId="0" xfId="0" applyAlignment="1" applyBorder="1" applyFont="1">
      <alignment shrinkToFit="0" vertical="top" wrapText="0"/>
    </xf>
    <xf borderId="6" fillId="13" fontId="47" numFmtId="0" xfId="0" applyAlignment="1" applyBorder="1" applyFont="1">
      <alignment vertical="bottom"/>
    </xf>
    <xf borderId="6" fillId="13" fontId="42" numFmtId="0" xfId="0" applyAlignment="1" applyBorder="1" applyFont="1">
      <alignment horizontal="left" shrinkToFit="0" wrapText="0"/>
    </xf>
    <xf borderId="6" fillId="0" fontId="45" numFmtId="4" xfId="0" applyAlignment="1" applyBorder="1" applyFont="1" applyNumberFormat="1">
      <alignment horizontal="center" readingOrder="0" shrinkToFit="0" wrapText="0"/>
    </xf>
    <xf borderId="6" fillId="0" fontId="47" numFmtId="0" xfId="0" applyAlignment="1" applyBorder="1" applyFont="1">
      <alignment horizontal="center"/>
    </xf>
    <xf borderId="6" fillId="0" fontId="48" numFmtId="0" xfId="0" applyAlignment="1" applyBorder="1" applyFont="1">
      <alignment horizontal="center"/>
    </xf>
    <xf borderId="6" fillId="0" fontId="47" numFmtId="0" xfId="0" applyAlignment="1" applyBorder="1" applyFont="1">
      <alignment vertical="bottom"/>
    </xf>
    <xf borderId="22" fillId="0" fontId="47" numFmtId="0" xfId="0" applyAlignment="1" applyBorder="1" applyFont="1">
      <alignment horizontal="left" readingOrder="0"/>
    </xf>
    <xf borderId="5" fillId="0" fontId="35" numFmtId="0" xfId="0" applyAlignment="1" applyBorder="1" applyFont="1">
      <alignment horizontal="center" readingOrder="0" shrinkToFit="0" wrapText="0"/>
    </xf>
    <xf borderId="6" fillId="0" fontId="11" numFmtId="0" xfId="0" applyAlignment="1" applyBorder="1" applyFont="1">
      <alignment horizontal="center" readingOrder="0" shrinkToFit="0" wrapText="0"/>
    </xf>
    <xf borderId="6" fillId="0" fontId="42" numFmtId="0" xfId="0" applyAlignment="1" applyBorder="1" applyFont="1">
      <alignment horizontal="center" readingOrder="0" shrinkToFit="0" wrapText="0"/>
    </xf>
    <xf borderId="6" fillId="0" fontId="35" numFmtId="3" xfId="0" applyAlignment="1" applyBorder="1" applyFont="1" applyNumberFormat="1">
      <alignment horizontal="center" readingOrder="0" shrinkToFit="0" wrapText="0"/>
    </xf>
    <xf borderId="22" fillId="0" fontId="47" numFmtId="0" xfId="0" applyAlignment="1" applyBorder="1" applyFont="1">
      <alignment horizontal="left" readingOrder="0" shrinkToFit="0" wrapText="0"/>
    </xf>
    <xf borderId="6" fillId="0" fontId="47" numFmtId="0" xfId="0" applyAlignment="1" applyBorder="1" applyFont="1">
      <alignment horizontal="left" readingOrder="0" shrinkToFit="0" wrapText="0"/>
    </xf>
    <xf borderId="0" fillId="0" fontId="42" numFmtId="0" xfId="0" applyAlignment="1" applyFont="1">
      <alignment horizontal="center" shrinkToFit="0" wrapText="0"/>
    </xf>
    <xf borderId="0" fillId="0" fontId="47" numFmtId="0" xfId="0" applyFont="1"/>
    <xf borderId="0" fillId="0" fontId="47" numFmtId="0" xfId="0" applyAlignment="1" applyFont="1">
      <alignment horizontal="center" shrinkToFit="0" wrapText="0"/>
    </xf>
    <xf borderId="0" fillId="0" fontId="47" numFmtId="0" xfId="0" applyAlignment="1" applyFont="1">
      <alignment horizontal="center"/>
    </xf>
    <xf borderId="0" fillId="0" fontId="44" numFmtId="0" xfId="0" applyAlignment="1" applyFont="1">
      <alignment horizontal="center"/>
    </xf>
    <xf borderId="0" fillId="0" fontId="48" numFmtId="0" xfId="0" applyAlignment="1" applyFont="1">
      <alignment horizontal="center"/>
    </xf>
    <xf borderId="0" fillId="0" fontId="47" numFmtId="0" xfId="0" applyAlignment="1" applyFont="1">
      <alignment vertical="bottom"/>
    </xf>
    <xf borderId="0" fillId="0" fontId="50" numFmtId="4" xfId="0" applyAlignment="1" applyFont="1" applyNumberFormat="1">
      <alignment horizontal="center" readingOrder="0"/>
    </xf>
    <xf borderId="0" fillId="0" fontId="45" numFmtId="0" xfId="0" applyAlignment="1" applyFont="1">
      <alignment horizontal="center"/>
    </xf>
    <xf borderId="0" fillId="0" fontId="42"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4.38"/>
    <col customWidth="1" min="2" max="2" width="72.75"/>
    <col customWidth="1" min="3" max="3" width="12.38"/>
    <col customWidth="1" min="4" max="4" width="18.25"/>
    <col customWidth="1" min="5" max="5" width="10.38"/>
    <col customWidth="1" min="6" max="6" width="9.0"/>
    <col customWidth="1" min="7" max="7" width="8.0"/>
    <col customWidth="1" min="8" max="8" width="9.13"/>
    <col customWidth="1" min="9" max="9" width="12.0"/>
    <col customWidth="1" min="10" max="10" width="18.25"/>
    <col customWidth="1" min="11" max="11" width="32.0"/>
    <col customWidth="1" min="12" max="12" width="12.88"/>
    <col customWidth="1" min="13" max="13" width="12.0"/>
    <col customWidth="1" min="14" max="14" width="10.63"/>
    <col customWidth="1" min="15" max="15" width="16.75"/>
    <col customWidth="1" min="16" max="16" width="14.13"/>
    <col customWidth="1" min="17" max="17" width="10.0"/>
    <col customWidth="1" min="18" max="18" width="45.88"/>
    <col customWidth="1" min="19" max="26" width="8.0"/>
  </cols>
  <sheetData>
    <row r="1" ht="18.0" customHeight="1">
      <c r="A1" s="1" t="s">
        <v>0</v>
      </c>
      <c r="B1" s="1" t="s">
        <v>1</v>
      </c>
      <c r="C1" s="2" t="s">
        <v>2</v>
      </c>
      <c r="D1" s="3" t="s">
        <v>3</v>
      </c>
      <c r="E1" s="4" t="s">
        <v>4</v>
      </c>
      <c r="F1" s="5"/>
      <c r="G1" s="5"/>
      <c r="H1" s="5"/>
      <c r="I1" s="6"/>
      <c r="J1" s="3" t="s">
        <v>5</v>
      </c>
      <c r="K1" s="7" t="s">
        <v>6</v>
      </c>
      <c r="L1" s="5"/>
      <c r="M1" s="5"/>
      <c r="N1" s="5"/>
      <c r="O1" s="5"/>
      <c r="P1" s="5"/>
      <c r="Q1" s="6"/>
      <c r="R1" s="8" t="s">
        <v>7</v>
      </c>
    </row>
    <row r="2" ht="21.0" customHeight="1">
      <c r="A2" s="9"/>
      <c r="B2" s="9"/>
      <c r="C2" s="9"/>
      <c r="D2" s="9"/>
      <c r="E2" s="10" t="s">
        <v>8</v>
      </c>
      <c r="F2" s="10" t="s">
        <v>9</v>
      </c>
      <c r="G2" s="4" t="s">
        <v>10</v>
      </c>
      <c r="H2" s="6"/>
      <c r="I2" s="10" t="s">
        <v>11</v>
      </c>
      <c r="J2" s="9"/>
      <c r="K2" s="11" t="s">
        <v>12</v>
      </c>
      <c r="L2" s="12" t="s">
        <v>13</v>
      </c>
      <c r="M2" s="12" t="s">
        <v>14</v>
      </c>
      <c r="N2" s="13" t="s">
        <v>15</v>
      </c>
      <c r="O2" s="14" t="s">
        <v>16</v>
      </c>
      <c r="P2" s="14" t="s">
        <v>17</v>
      </c>
      <c r="Q2" s="11" t="s">
        <v>18</v>
      </c>
      <c r="R2" s="9"/>
    </row>
    <row r="3" ht="21.75" customHeight="1">
      <c r="A3" s="9"/>
      <c r="B3" s="9"/>
      <c r="C3" s="9"/>
      <c r="D3" s="9"/>
      <c r="E3" s="15"/>
      <c r="F3" s="15"/>
      <c r="G3" s="16" t="s">
        <v>19</v>
      </c>
      <c r="H3" s="16" t="s">
        <v>20</v>
      </c>
      <c r="I3" s="15"/>
      <c r="J3" s="9"/>
      <c r="K3" s="9"/>
      <c r="L3" s="17" t="s">
        <v>21</v>
      </c>
      <c r="M3" s="18"/>
      <c r="N3" s="9"/>
      <c r="O3" s="19" t="s">
        <v>22</v>
      </c>
      <c r="P3" s="18"/>
      <c r="Q3" s="9"/>
      <c r="R3" s="9"/>
    </row>
    <row r="4" ht="15.0" customHeight="1">
      <c r="A4" s="15"/>
      <c r="B4" s="15"/>
      <c r="C4" s="15"/>
      <c r="D4" s="15"/>
      <c r="E4" s="20" t="s">
        <v>23</v>
      </c>
      <c r="F4" s="5"/>
      <c r="G4" s="5"/>
      <c r="H4" s="5"/>
      <c r="I4" s="6"/>
      <c r="J4" s="15"/>
      <c r="K4" s="15"/>
      <c r="L4" s="21"/>
      <c r="M4" s="22"/>
      <c r="N4" s="15"/>
      <c r="O4" s="21"/>
      <c r="P4" s="22"/>
      <c r="Q4" s="15"/>
      <c r="R4" s="15"/>
    </row>
    <row r="5" ht="1.5" customHeight="1">
      <c r="A5" s="23">
        <v>34.0</v>
      </c>
      <c r="B5" s="23" t="s">
        <v>24</v>
      </c>
      <c r="C5" s="24"/>
      <c r="D5" s="25"/>
      <c r="E5" s="25"/>
      <c r="F5" s="25"/>
      <c r="G5" s="26"/>
      <c r="H5" s="26"/>
      <c r="I5" s="25"/>
      <c r="J5" s="25"/>
      <c r="K5" s="25"/>
      <c r="L5" s="27"/>
      <c r="M5" s="27"/>
      <c r="N5" s="27"/>
      <c r="O5" s="26"/>
      <c r="P5" s="26"/>
      <c r="Q5" s="25"/>
      <c r="R5" s="28"/>
    </row>
    <row r="6" ht="15.0" customHeight="1">
      <c r="A6" s="29"/>
      <c r="B6" s="29"/>
      <c r="C6" s="30"/>
      <c r="D6" s="31"/>
      <c r="E6" s="31"/>
      <c r="F6" s="31"/>
      <c r="G6" s="32"/>
      <c r="H6" s="32"/>
      <c r="I6" s="31"/>
      <c r="J6" s="31"/>
      <c r="K6" s="31"/>
      <c r="L6" s="33"/>
      <c r="M6" s="33"/>
      <c r="N6" s="33"/>
      <c r="O6" s="32"/>
      <c r="P6" s="32"/>
      <c r="Q6" s="31"/>
      <c r="R6" s="34"/>
    </row>
    <row r="7" ht="15.0" customHeight="1">
      <c r="A7" s="35">
        <v>341.0</v>
      </c>
      <c r="B7" s="35" t="s">
        <v>25</v>
      </c>
      <c r="C7" s="36">
        <f>SUM(C9)</f>
        <v>5</v>
      </c>
      <c r="D7" s="14"/>
      <c r="E7" s="14"/>
      <c r="F7" s="14"/>
      <c r="G7" s="37"/>
      <c r="H7" s="37"/>
      <c r="I7" s="14"/>
      <c r="J7" s="14"/>
      <c r="K7" s="14"/>
      <c r="L7" s="38"/>
      <c r="M7" s="38"/>
      <c r="N7" s="38"/>
      <c r="O7" s="37"/>
      <c r="P7" s="37"/>
      <c r="Q7" s="14"/>
      <c r="R7" s="39"/>
    </row>
    <row r="8" ht="15.0" customHeight="1">
      <c r="A8" s="29"/>
      <c r="B8" s="29"/>
      <c r="C8" s="30"/>
      <c r="D8" s="31"/>
      <c r="E8" s="31"/>
      <c r="F8" s="31"/>
      <c r="G8" s="32"/>
      <c r="H8" s="32"/>
      <c r="I8" s="31"/>
      <c r="J8" s="31"/>
      <c r="K8" s="31"/>
      <c r="L8" s="33"/>
      <c r="M8" s="33"/>
      <c r="N8" s="33"/>
      <c r="O8" s="32"/>
      <c r="P8" s="32"/>
      <c r="Q8" s="31"/>
      <c r="R8" s="34"/>
    </row>
    <row r="9" ht="15.0" customHeight="1">
      <c r="A9" s="40">
        <v>2513800.0</v>
      </c>
      <c r="B9" s="40" t="s">
        <v>26</v>
      </c>
      <c r="C9" s="41">
        <f>SUM(C10:C15)</f>
        <v>5</v>
      </c>
      <c r="D9" s="42"/>
      <c r="E9" s="42"/>
      <c r="F9" s="42"/>
      <c r="G9" s="43"/>
      <c r="H9" s="43"/>
      <c r="I9" s="42"/>
      <c r="J9" s="42"/>
      <c r="K9" s="42"/>
      <c r="L9" s="44"/>
      <c r="M9" s="44"/>
      <c r="N9" s="44"/>
      <c r="O9" s="43"/>
      <c r="P9" s="43"/>
      <c r="Q9" s="42"/>
      <c r="R9" s="45"/>
    </row>
    <row r="10" ht="15.0" customHeight="1">
      <c r="A10" s="46"/>
      <c r="B10" s="47" t="s">
        <v>27</v>
      </c>
      <c r="C10" s="48">
        <v>0.6</v>
      </c>
      <c r="D10" s="49" t="s">
        <v>28</v>
      </c>
      <c r="E10" s="31"/>
      <c r="F10" s="31"/>
      <c r="G10" s="32"/>
      <c r="H10" s="32"/>
      <c r="I10" s="31"/>
      <c r="J10" s="50" t="s">
        <v>29</v>
      </c>
      <c r="K10" s="31"/>
      <c r="L10" s="33"/>
      <c r="M10" s="33"/>
      <c r="N10" s="33"/>
      <c r="O10" s="32"/>
      <c r="P10" s="32"/>
      <c r="Q10" s="31"/>
      <c r="R10" s="34"/>
    </row>
    <row r="11" ht="15.0" customHeight="1">
      <c r="A11" s="46"/>
      <c r="B11" s="47" t="s">
        <v>30</v>
      </c>
      <c r="C11" s="48">
        <v>0.636</v>
      </c>
      <c r="D11" s="51" t="s">
        <v>28</v>
      </c>
      <c r="E11" s="31"/>
      <c r="F11" s="31"/>
      <c r="G11" s="32"/>
      <c r="H11" s="32"/>
      <c r="I11" s="31"/>
      <c r="J11" s="50" t="s">
        <v>29</v>
      </c>
      <c r="K11" s="31"/>
      <c r="L11" s="33"/>
      <c r="M11" s="33"/>
      <c r="N11" s="33"/>
      <c r="O11" s="32"/>
      <c r="P11" s="32"/>
      <c r="Q11" s="31"/>
      <c r="R11" s="34"/>
    </row>
    <row r="12" ht="15.0" customHeight="1">
      <c r="A12" s="46"/>
      <c r="B12" s="47" t="s">
        <v>31</v>
      </c>
      <c r="C12" s="48">
        <v>0.7</v>
      </c>
      <c r="D12" s="51" t="s">
        <v>28</v>
      </c>
      <c r="E12" s="31"/>
      <c r="F12" s="31"/>
      <c r="G12" s="32"/>
      <c r="H12" s="32"/>
      <c r="I12" s="31"/>
      <c r="J12" s="50" t="s">
        <v>29</v>
      </c>
      <c r="K12" s="31"/>
      <c r="L12" s="33"/>
      <c r="M12" s="33"/>
      <c r="N12" s="33"/>
      <c r="O12" s="32"/>
      <c r="P12" s="32"/>
      <c r="Q12" s="31"/>
      <c r="R12" s="34"/>
    </row>
    <row r="13" ht="15.0" customHeight="1">
      <c r="A13" s="46"/>
      <c r="B13" s="47" t="s">
        <v>32</v>
      </c>
      <c r="C13" s="48">
        <v>0.424</v>
      </c>
      <c r="D13" s="51" t="s">
        <v>28</v>
      </c>
      <c r="E13" s="31"/>
      <c r="F13" s="31"/>
      <c r="G13" s="32"/>
      <c r="H13" s="32"/>
      <c r="I13" s="31"/>
      <c r="J13" s="50" t="s">
        <v>29</v>
      </c>
      <c r="K13" s="31"/>
      <c r="L13" s="33"/>
      <c r="M13" s="33"/>
      <c r="N13" s="33"/>
      <c r="O13" s="32"/>
      <c r="P13" s="32"/>
      <c r="Q13" s="31"/>
      <c r="R13" s="34"/>
    </row>
    <row r="14" ht="15.0" customHeight="1">
      <c r="A14" s="46"/>
      <c r="B14" s="47" t="s">
        <v>33</v>
      </c>
      <c r="C14" s="48">
        <v>2.0</v>
      </c>
      <c r="D14" s="51" t="s">
        <v>28</v>
      </c>
      <c r="E14" s="31"/>
      <c r="F14" s="31"/>
      <c r="G14" s="32"/>
      <c r="H14" s="32"/>
      <c r="I14" s="31"/>
      <c r="J14" s="50" t="s">
        <v>29</v>
      </c>
      <c r="K14" s="31"/>
      <c r="L14" s="33"/>
      <c r="M14" s="33"/>
      <c r="N14" s="33"/>
      <c r="O14" s="32"/>
      <c r="P14" s="32"/>
      <c r="Q14" s="31"/>
      <c r="R14" s="34"/>
    </row>
    <row r="15" ht="15.0" customHeight="1">
      <c r="A15" s="46"/>
      <c r="B15" s="47" t="s">
        <v>34</v>
      </c>
      <c r="C15" s="48">
        <v>0.64</v>
      </c>
      <c r="D15" s="51" t="s">
        <v>28</v>
      </c>
      <c r="E15" s="31"/>
      <c r="F15" s="31"/>
      <c r="G15" s="32"/>
      <c r="H15" s="32"/>
      <c r="I15" s="31"/>
      <c r="J15" s="50" t="s">
        <v>29</v>
      </c>
      <c r="K15" s="31"/>
      <c r="L15" s="33"/>
      <c r="M15" s="33"/>
      <c r="N15" s="33"/>
      <c r="O15" s="32"/>
      <c r="P15" s="32"/>
      <c r="Q15" s="31"/>
      <c r="R15" s="34"/>
    </row>
    <row r="16" ht="15.0" customHeight="1">
      <c r="A16" s="46"/>
      <c r="B16" s="46"/>
      <c r="C16" s="30"/>
      <c r="D16" s="31"/>
      <c r="E16" s="31"/>
      <c r="F16" s="31"/>
      <c r="G16" s="32"/>
      <c r="H16" s="32"/>
      <c r="I16" s="31"/>
      <c r="J16" s="31"/>
      <c r="K16" s="31"/>
      <c r="L16" s="33"/>
      <c r="M16" s="33"/>
      <c r="N16" s="33"/>
      <c r="O16" s="32"/>
      <c r="P16" s="32"/>
      <c r="Q16" s="31"/>
      <c r="R16" s="34"/>
    </row>
    <row r="17" ht="15.0" customHeight="1">
      <c r="A17" s="35">
        <v>342.0</v>
      </c>
      <c r="B17" s="35" t="s">
        <v>35</v>
      </c>
      <c r="C17" s="36">
        <f>SUM(C19,C23,C38)</f>
        <v>50684.99979</v>
      </c>
      <c r="D17" s="14"/>
      <c r="E17" s="14"/>
      <c r="F17" s="14"/>
      <c r="G17" s="37"/>
      <c r="H17" s="37"/>
      <c r="I17" s="14"/>
      <c r="J17" s="14"/>
      <c r="K17" s="14"/>
      <c r="L17" s="38"/>
      <c r="M17" s="38"/>
      <c r="N17" s="38"/>
      <c r="O17" s="37"/>
      <c r="P17" s="37"/>
      <c r="Q17" s="14"/>
      <c r="R17" s="39"/>
    </row>
    <row r="18" ht="15.0" customHeight="1">
      <c r="A18" s="29"/>
      <c r="B18" s="29"/>
      <c r="C18" s="30"/>
      <c r="D18" s="31"/>
      <c r="E18" s="31"/>
      <c r="F18" s="31"/>
      <c r="G18" s="32"/>
      <c r="H18" s="32"/>
      <c r="I18" s="31"/>
      <c r="J18" s="31"/>
      <c r="K18" s="31"/>
      <c r="L18" s="33"/>
      <c r="M18" s="33"/>
      <c r="N18" s="33"/>
      <c r="O18" s="32"/>
      <c r="P18" s="32"/>
      <c r="Q18" s="31"/>
      <c r="R18" s="34"/>
    </row>
    <row r="19" ht="15.0" customHeight="1">
      <c r="A19" s="40">
        <v>2606600.0</v>
      </c>
      <c r="B19" s="40" t="s">
        <v>36</v>
      </c>
      <c r="C19" s="41">
        <f>SUM(C20:C21)</f>
        <v>185</v>
      </c>
      <c r="D19" s="42"/>
      <c r="E19" s="42"/>
      <c r="F19" s="42"/>
      <c r="G19" s="43"/>
      <c r="H19" s="43"/>
      <c r="I19" s="42"/>
      <c r="J19" s="42"/>
      <c r="K19" s="42"/>
      <c r="L19" s="44"/>
      <c r="M19" s="44"/>
      <c r="N19" s="44"/>
      <c r="O19" s="43"/>
      <c r="P19" s="43"/>
      <c r="Q19" s="42"/>
      <c r="R19" s="45"/>
    </row>
    <row r="20" ht="15.0" customHeight="1">
      <c r="A20" s="46"/>
      <c r="B20" s="47" t="s">
        <v>37</v>
      </c>
      <c r="C20" s="48">
        <v>75.0</v>
      </c>
      <c r="D20" s="51" t="s">
        <v>38</v>
      </c>
      <c r="E20" s="52">
        <v>46095.0</v>
      </c>
      <c r="F20" s="53" t="s">
        <v>39</v>
      </c>
      <c r="G20" s="32"/>
      <c r="H20" s="54"/>
      <c r="I20" s="31"/>
      <c r="J20" s="55" t="s">
        <v>40</v>
      </c>
      <c r="K20" s="31"/>
      <c r="L20" s="33"/>
      <c r="M20" s="33"/>
      <c r="N20" s="56">
        <v>3.0</v>
      </c>
      <c r="O20" s="57">
        <v>46146.0</v>
      </c>
      <c r="P20" s="57">
        <v>46237.0</v>
      </c>
      <c r="Q20" s="31"/>
      <c r="R20" s="58" t="s">
        <v>41</v>
      </c>
    </row>
    <row r="21" ht="15.0" customHeight="1">
      <c r="A21" s="46"/>
      <c r="B21" s="47" t="s">
        <v>42</v>
      </c>
      <c r="C21" s="48">
        <v>110.0</v>
      </c>
      <c r="D21" s="51" t="s">
        <v>38</v>
      </c>
      <c r="E21" s="52">
        <v>46095.0</v>
      </c>
      <c r="F21" s="53" t="s">
        <v>39</v>
      </c>
      <c r="G21" s="32"/>
      <c r="H21" s="54"/>
      <c r="I21" s="31"/>
      <c r="J21" s="55" t="s">
        <v>40</v>
      </c>
      <c r="K21" s="31"/>
      <c r="L21" s="33"/>
      <c r="M21" s="33"/>
      <c r="N21" s="33"/>
      <c r="O21" s="57">
        <v>46146.0</v>
      </c>
      <c r="P21" s="57">
        <v>46237.0</v>
      </c>
      <c r="Q21" s="31"/>
      <c r="R21" s="58" t="s">
        <v>41</v>
      </c>
    </row>
    <row r="22" ht="15.0" customHeight="1">
      <c r="A22" s="46"/>
      <c r="B22" s="46"/>
      <c r="C22" s="30"/>
      <c r="D22" s="31"/>
      <c r="E22" s="31"/>
      <c r="F22" s="31"/>
      <c r="G22" s="32"/>
      <c r="H22" s="32"/>
      <c r="I22" s="31"/>
      <c r="J22" s="31"/>
      <c r="K22" s="31"/>
      <c r="L22" s="33"/>
      <c r="M22" s="33"/>
      <c r="N22" s="33"/>
      <c r="O22" s="32"/>
      <c r="P22" s="32"/>
      <c r="Q22" s="31"/>
      <c r="R22" s="34"/>
    </row>
    <row r="23" ht="15.0" customHeight="1">
      <c r="A23" s="40">
        <v>2606700.0</v>
      </c>
      <c r="B23" s="40" t="s">
        <v>43</v>
      </c>
      <c r="C23" s="41">
        <f>SUM(C24:C35)</f>
        <v>500</v>
      </c>
      <c r="D23" s="42"/>
      <c r="E23" s="42"/>
      <c r="F23" s="42"/>
      <c r="G23" s="43"/>
      <c r="H23" s="43"/>
      <c r="I23" s="42"/>
      <c r="J23" s="42"/>
      <c r="K23" s="42"/>
      <c r="L23" s="44"/>
      <c r="M23" s="44"/>
      <c r="N23" s="44"/>
      <c r="O23" s="43"/>
      <c r="P23" s="43"/>
      <c r="Q23" s="42"/>
      <c r="R23" s="45"/>
    </row>
    <row r="24" ht="15.0" customHeight="1">
      <c r="A24" s="46"/>
      <c r="B24" s="59" t="s">
        <v>44</v>
      </c>
      <c r="C24" s="48">
        <v>77.0</v>
      </c>
      <c r="D24" s="51" t="s">
        <v>38</v>
      </c>
      <c r="E24" s="52">
        <v>46069.0</v>
      </c>
      <c r="F24" s="53" t="s">
        <v>45</v>
      </c>
      <c r="G24" s="32"/>
      <c r="H24" s="32"/>
      <c r="I24" s="31"/>
      <c r="J24" s="55" t="s">
        <v>40</v>
      </c>
      <c r="K24" s="31"/>
      <c r="L24" s="33"/>
      <c r="M24" s="33"/>
      <c r="N24" s="33"/>
      <c r="O24" s="57">
        <v>46146.0</v>
      </c>
      <c r="P24" s="57">
        <v>46237.0</v>
      </c>
      <c r="Q24" s="31"/>
      <c r="R24" s="58" t="s">
        <v>41</v>
      </c>
    </row>
    <row r="25" ht="15.0" customHeight="1">
      <c r="A25" s="46"/>
      <c r="B25" s="59" t="s">
        <v>46</v>
      </c>
      <c r="C25" s="48">
        <v>60.0</v>
      </c>
      <c r="D25" s="51" t="s">
        <v>38</v>
      </c>
      <c r="E25" s="52">
        <v>46088.0</v>
      </c>
      <c r="F25" s="52">
        <v>46077.0</v>
      </c>
      <c r="G25" s="32"/>
      <c r="H25" s="60">
        <v>46126.0</v>
      </c>
      <c r="I25" s="31"/>
      <c r="J25" s="55" t="s">
        <v>40</v>
      </c>
      <c r="K25" s="31"/>
      <c r="L25" s="33"/>
      <c r="M25" s="33"/>
      <c r="N25" s="33"/>
      <c r="O25" s="57">
        <v>46146.0</v>
      </c>
      <c r="P25" s="57">
        <v>46237.0</v>
      </c>
      <c r="Q25" s="31"/>
      <c r="R25" s="58" t="s">
        <v>41</v>
      </c>
    </row>
    <row r="26" ht="15.0" customHeight="1">
      <c r="A26" s="46"/>
      <c r="B26" s="61" t="s">
        <v>47</v>
      </c>
      <c r="C26" s="48">
        <v>60.0</v>
      </c>
      <c r="D26" s="51" t="s">
        <v>38</v>
      </c>
      <c r="E26" s="52">
        <v>46088.0</v>
      </c>
      <c r="F26" s="52">
        <v>46107.0</v>
      </c>
      <c r="G26" s="32"/>
      <c r="H26" s="32"/>
      <c r="I26" s="31"/>
      <c r="J26" s="55" t="s">
        <v>40</v>
      </c>
      <c r="K26" s="31"/>
      <c r="L26" s="33"/>
      <c r="M26" s="33"/>
      <c r="N26" s="33"/>
      <c r="O26" s="57">
        <v>46146.0</v>
      </c>
      <c r="P26" s="57">
        <v>46237.0</v>
      </c>
      <c r="Q26" s="31"/>
      <c r="R26" s="58" t="s">
        <v>41</v>
      </c>
    </row>
    <row r="27" ht="15.0" customHeight="1">
      <c r="A27" s="46"/>
      <c r="B27" s="61" t="s">
        <v>48</v>
      </c>
      <c r="C27" s="48">
        <v>20.0</v>
      </c>
      <c r="D27" s="51" t="s">
        <v>38</v>
      </c>
      <c r="E27" s="52">
        <v>46067.0</v>
      </c>
      <c r="F27" s="52">
        <v>46091.0</v>
      </c>
      <c r="G27" s="32"/>
      <c r="H27" s="60">
        <v>46106.0</v>
      </c>
      <c r="I27" s="31"/>
      <c r="J27" s="55" t="s">
        <v>49</v>
      </c>
      <c r="K27" s="31"/>
      <c r="L27" s="33"/>
      <c r="M27" s="33"/>
      <c r="N27" s="33"/>
      <c r="O27" s="57">
        <v>46129.0</v>
      </c>
      <c r="P27" s="57">
        <v>46219.0</v>
      </c>
      <c r="Q27" s="31"/>
      <c r="R27" s="58" t="s">
        <v>41</v>
      </c>
    </row>
    <row r="28" ht="15.0" customHeight="1">
      <c r="A28" s="46"/>
      <c r="B28" s="61" t="s">
        <v>50</v>
      </c>
      <c r="C28" s="48">
        <v>30.0</v>
      </c>
      <c r="D28" s="51" t="s">
        <v>38</v>
      </c>
      <c r="E28" s="52">
        <v>46067.0</v>
      </c>
      <c r="F28" s="52">
        <v>46091.0</v>
      </c>
      <c r="G28" s="32"/>
      <c r="H28" s="60">
        <v>46106.0</v>
      </c>
      <c r="I28" s="31"/>
      <c r="J28" s="55" t="s">
        <v>49</v>
      </c>
      <c r="K28" s="31"/>
      <c r="L28" s="33"/>
      <c r="M28" s="33"/>
      <c r="N28" s="33"/>
      <c r="O28" s="57">
        <v>46129.0</v>
      </c>
      <c r="P28" s="57">
        <v>46219.0</v>
      </c>
      <c r="Q28" s="31"/>
      <c r="R28" s="58" t="s">
        <v>41</v>
      </c>
    </row>
    <row r="29" ht="15.0" customHeight="1">
      <c r="A29" s="46"/>
      <c r="B29" s="61" t="s">
        <v>51</v>
      </c>
      <c r="C29" s="48">
        <v>10.0</v>
      </c>
      <c r="D29" s="51" t="s">
        <v>38</v>
      </c>
      <c r="E29" s="52">
        <v>46067.0</v>
      </c>
      <c r="F29" s="52">
        <v>46091.0</v>
      </c>
      <c r="G29" s="32"/>
      <c r="H29" s="60">
        <v>46106.0</v>
      </c>
      <c r="I29" s="31"/>
      <c r="J29" s="55" t="s">
        <v>52</v>
      </c>
      <c r="K29" s="31"/>
      <c r="L29" s="33"/>
      <c r="M29" s="33"/>
      <c r="N29" s="33"/>
      <c r="O29" s="57">
        <v>46129.0</v>
      </c>
      <c r="P29" s="57">
        <v>46219.0</v>
      </c>
      <c r="Q29" s="31"/>
      <c r="R29" s="58" t="s">
        <v>53</v>
      </c>
    </row>
    <row r="30" ht="15.0" customHeight="1">
      <c r="A30" s="46"/>
      <c r="B30" s="61" t="s">
        <v>54</v>
      </c>
      <c r="C30" s="48">
        <v>30.0</v>
      </c>
      <c r="D30" s="51" t="s">
        <v>38</v>
      </c>
      <c r="E30" s="52">
        <v>46067.0</v>
      </c>
      <c r="F30" s="52">
        <v>46091.0</v>
      </c>
      <c r="G30" s="32"/>
      <c r="H30" s="60">
        <v>46106.0</v>
      </c>
      <c r="I30" s="31"/>
      <c r="J30" s="55" t="s">
        <v>49</v>
      </c>
      <c r="K30" s="31"/>
      <c r="L30" s="33"/>
      <c r="M30" s="33"/>
      <c r="N30" s="33"/>
      <c r="O30" s="57">
        <v>46129.0</v>
      </c>
      <c r="P30" s="57">
        <v>46219.0</v>
      </c>
      <c r="Q30" s="31"/>
      <c r="R30" s="58" t="s">
        <v>41</v>
      </c>
    </row>
    <row r="31" ht="25.5" customHeight="1">
      <c r="A31" s="46"/>
      <c r="B31" s="61" t="s">
        <v>55</v>
      </c>
      <c r="C31" s="48">
        <v>25.0</v>
      </c>
      <c r="D31" s="51" t="s">
        <v>38</v>
      </c>
      <c r="E31" s="52">
        <v>46088.0</v>
      </c>
      <c r="F31" s="52">
        <v>46107.0</v>
      </c>
      <c r="G31" s="32"/>
      <c r="H31" s="32"/>
      <c r="I31" s="31"/>
      <c r="J31" s="55" t="s">
        <v>40</v>
      </c>
      <c r="K31" s="31"/>
      <c r="L31" s="33"/>
      <c r="M31" s="33"/>
      <c r="N31" s="33"/>
      <c r="O31" s="57">
        <v>46146.0</v>
      </c>
      <c r="P31" s="57">
        <v>46237.0</v>
      </c>
      <c r="Q31" s="31"/>
      <c r="R31" s="58" t="s">
        <v>41</v>
      </c>
    </row>
    <row r="32" ht="15.0" customHeight="1">
      <c r="A32" s="46"/>
      <c r="B32" s="61" t="s">
        <v>56</v>
      </c>
      <c r="C32" s="48">
        <v>55.0</v>
      </c>
      <c r="D32" s="51" t="s">
        <v>38</v>
      </c>
      <c r="E32" s="52">
        <v>46088.0</v>
      </c>
      <c r="F32" s="52">
        <v>46107.0</v>
      </c>
      <c r="G32" s="32"/>
      <c r="H32" s="32"/>
      <c r="I32" s="31"/>
      <c r="J32" s="55" t="s">
        <v>40</v>
      </c>
      <c r="K32" s="31"/>
      <c r="L32" s="33"/>
      <c r="M32" s="33"/>
      <c r="N32" s="33"/>
      <c r="O32" s="57">
        <v>46146.0</v>
      </c>
      <c r="P32" s="57">
        <v>46237.0</v>
      </c>
      <c r="Q32" s="31"/>
      <c r="R32" s="58" t="s">
        <v>41</v>
      </c>
    </row>
    <row r="33" ht="15.0" customHeight="1">
      <c r="A33" s="46"/>
      <c r="B33" s="61" t="s">
        <v>57</v>
      </c>
      <c r="C33" s="48">
        <v>90.0</v>
      </c>
      <c r="D33" s="51" t="s">
        <v>38</v>
      </c>
      <c r="E33" s="52">
        <v>46068.0</v>
      </c>
      <c r="F33" s="52">
        <v>46093.0</v>
      </c>
      <c r="G33" s="32"/>
      <c r="H33" s="32"/>
      <c r="I33" s="31"/>
      <c r="J33" s="55" t="s">
        <v>40</v>
      </c>
      <c r="K33" s="31"/>
      <c r="L33" s="33"/>
      <c r="M33" s="33"/>
      <c r="N33" s="33"/>
      <c r="O33" s="57">
        <v>46146.0</v>
      </c>
      <c r="P33" s="57">
        <v>46237.0</v>
      </c>
      <c r="Q33" s="31"/>
      <c r="R33" s="58" t="s">
        <v>41</v>
      </c>
    </row>
    <row r="34" ht="15.0" customHeight="1">
      <c r="A34" s="46"/>
      <c r="B34" s="61" t="s">
        <v>58</v>
      </c>
      <c r="C34" s="48">
        <v>30.0</v>
      </c>
      <c r="D34" s="49" t="s">
        <v>59</v>
      </c>
      <c r="E34" s="52">
        <v>46024.0</v>
      </c>
      <c r="F34" s="52">
        <v>46064.0</v>
      </c>
      <c r="G34" s="60">
        <v>46064.0</v>
      </c>
      <c r="H34" s="32"/>
      <c r="I34" s="52">
        <v>46098.0</v>
      </c>
      <c r="J34" s="55" t="s">
        <v>60</v>
      </c>
      <c r="K34" s="53" t="s">
        <v>61</v>
      </c>
      <c r="L34" s="56">
        <v>13000.0</v>
      </c>
      <c r="M34" s="57">
        <v>46189.0</v>
      </c>
      <c r="N34" s="56">
        <v>3.0</v>
      </c>
      <c r="O34" s="57">
        <v>46098.0</v>
      </c>
      <c r="P34" s="57">
        <v>46189.0</v>
      </c>
      <c r="Q34" s="31"/>
      <c r="R34" s="58"/>
    </row>
    <row r="35" ht="25.5" customHeight="1">
      <c r="A35" s="46"/>
      <c r="B35" s="61" t="s">
        <v>62</v>
      </c>
      <c r="C35" s="48">
        <v>13.0</v>
      </c>
      <c r="D35" s="49" t="s">
        <v>63</v>
      </c>
      <c r="E35" s="31"/>
      <c r="F35" s="31"/>
      <c r="G35" s="32"/>
      <c r="H35" s="32"/>
      <c r="I35" s="31"/>
      <c r="J35" s="55" t="s">
        <v>60</v>
      </c>
      <c r="K35" s="31"/>
      <c r="L35" s="33"/>
      <c r="M35" s="33"/>
      <c r="N35" s="33"/>
      <c r="O35" s="32"/>
      <c r="P35" s="32"/>
      <c r="Q35" s="31"/>
      <c r="R35" s="34"/>
    </row>
    <row r="36" ht="15.0" customHeight="1">
      <c r="A36" s="46"/>
      <c r="B36" s="46"/>
      <c r="C36" s="30"/>
      <c r="D36" s="31"/>
      <c r="E36" s="31"/>
      <c r="F36" s="31"/>
      <c r="G36" s="32"/>
      <c r="H36" s="32"/>
      <c r="I36" s="31"/>
      <c r="J36" s="31"/>
      <c r="K36" s="31"/>
      <c r="L36" s="33"/>
      <c r="M36" s="33"/>
      <c r="N36" s="33"/>
      <c r="O36" s="32"/>
      <c r="P36" s="32"/>
      <c r="Q36" s="31"/>
      <c r="R36" s="34"/>
    </row>
    <row r="37" ht="15.0" customHeight="1">
      <c r="A37" s="46"/>
      <c r="B37" s="46"/>
      <c r="C37" s="30"/>
      <c r="D37" s="31"/>
      <c r="E37" s="31"/>
      <c r="F37" s="31"/>
      <c r="G37" s="32"/>
      <c r="H37" s="32"/>
      <c r="I37" s="31"/>
      <c r="J37" s="31"/>
      <c r="K37" s="31"/>
      <c r="L37" s="33"/>
      <c r="M37" s="33"/>
      <c r="N37" s="33"/>
      <c r="O37" s="32"/>
      <c r="P37" s="32"/>
      <c r="Q37" s="31"/>
      <c r="R37" s="34"/>
    </row>
    <row r="38" ht="15.0" customHeight="1">
      <c r="A38" s="40">
        <v>2611300.0</v>
      </c>
      <c r="B38" s="40" t="s">
        <v>64</v>
      </c>
      <c r="C38" s="41">
        <f>SUM(C39,C58)</f>
        <v>49999.99979</v>
      </c>
      <c r="D38" s="42"/>
      <c r="E38" s="42"/>
      <c r="F38" s="42"/>
      <c r="G38" s="43"/>
      <c r="H38" s="43"/>
      <c r="I38" s="42"/>
      <c r="J38" s="42"/>
      <c r="K38" s="42"/>
      <c r="L38" s="44"/>
      <c r="M38" s="44"/>
      <c r="N38" s="44"/>
      <c r="O38" s="43"/>
      <c r="P38" s="43"/>
      <c r="Q38" s="42"/>
      <c r="R38" s="45"/>
    </row>
    <row r="39" ht="15.0" customHeight="1">
      <c r="A39" s="46"/>
      <c r="B39" s="62" t="s">
        <v>65</v>
      </c>
      <c r="C39" s="30">
        <f>SUM(C40:C56)</f>
        <v>45000</v>
      </c>
      <c r="D39" s="31"/>
      <c r="E39" s="31"/>
      <c r="F39" s="31"/>
      <c r="G39" s="32"/>
      <c r="H39" s="32"/>
      <c r="I39" s="31"/>
      <c r="J39" s="31"/>
      <c r="K39" s="31"/>
      <c r="L39" s="33"/>
      <c r="M39" s="33"/>
      <c r="N39" s="33"/>
      <c r="O39" s="32"/>
      <c r="P39" s="32"/>
      <c r="Q39" s="31"/>
      <c r="R39" s="34"/>
    </row>
    <row r="40" ht="25.5" customHeight="1">
      <c r="A40" s="46"/>
      <c r="B40" s="61" t="s">
        <v>66</v>
      </c>
      <c r="C40" s="48">
        <v>2812.203969640047</v>
      </c>
      <c r="D40" s="51" t="s">
        <v>67</v>
      </c>
      <c r="E40" s="31"/>
      <c r="F40" s="31"/>
      <c r="G40" s="32"/>
      <c r="H40" s="32"/>
      <c r="I40" s="31"/>
      <c r="J40" s="50" t="s">
        <v>68</v>
      </c>
      <c r="K40" s="63" t="s">
        <v>69</v>
      </c>
      <c r="L40" s="33">
        <v>9643.2</v>
      </c>
      <c r="M40" s="64">
        <v>5568.948</v>
      </c>
      <c r="N40" s="65">
        <v>15.0</v>
      </c>
      <c r="O40" s="66">
        <v>46049.0</v>
      </c>
      <c r="P40" s="67">
        <v>46503.0</v>
      </c>
      <c r="Q40" s="68">
        <v>0.088</v>
      </c>
      <c r="R40" s="69" t="s">
        <v>70</v>
      </c>
    </row>
    <row r="41" ht="15.0" customHeight="1">
      <c r="A41" s="46"/>
      <c r="B41" s="61" t="s">
        <v>71</v>
      </c>
      <c r="C41" s="48">
        <v>1004.3585605857312</v>
      </c>
      <c r="D41" s="49" t="s">
        <v>38</v>
      </c>
      <c r="E41" s="53"/>
      <c r="F41" s="31"/>
      <c r="G41" s="32"/>
      <c r="H41" s="32"/>
      <c r="I41" s="31"/>
      <c r="J41" s="55" t="s">
        <v>40</v>
      </c>
      <c r="K41" s="63"/>
      <c r="L41" s="33">
        <v>2583.0</v>
      </c>
      <c r="M41" s="70">
        <v>0.0</v>
      </c>
      <c r="N41" s="65"/>
      <c r="O41" s="66"/>
      <c r="P41" s="32"/>
      <c r="Q41" s="71"/>
      <c r="R41" s="58" t="s">
        <v>72</v>
      </c>
    </row>
    <row r="42">
      <c r="A42" s="46"/>
      <c r="B42" s="61" t="s">
        <v>73</v>
      </c>
      <c r="C42" s="48">
        <v>2255.5417369425854</v>
      </c>
      <c r="D42" s="51" t="s">
        <v>38</v>
      </c>
      <c r="E42" s="31"/>
      <c r="F42" s="31"/>
      <c r="G42" s="32"/>
      <c r="H42" s="32"/>
      <c r="I42" s="31"/>
      <c r="J42" s="50" t="s">
        <v>68</v>
      </c>
      <c r="K42" s="63" t="s">
        <v>74</v>
      </c>
      <c r="L42" s="33">
        <v>7734.3754479075</v>
      </c>
      <c r="M42" s="70">
        <v>1160.156387</v>
      </c>
      <c r="N42" s="65">
        <v>14.0</v>
      </c>
      <c r="O42" s="66">
        <v>46028.0</v>
      </c>
      <c r="P42" s="67">
        <v>46451.0</v>
      </c>
      <c r="Q42" s="68">
        <v>0.0131</v>
      </c>
      <c r="R42" s="69" t="s">
        <v>70</v>
      </c>
    </row>
    <row r="43" ht="33.0" customHeight="1">
      <c r="A43" s="46"/>
      <c r="B43" s="61" t="s">
        <v>75</v>
      </c>
      <c r="C43" s="48">
        <v>139.5219489576356</v>
      </c>
      <c r="D43" s="51" t="s">
        <v>38</v>
      </c>
      <c r="E43" s="31"/>
      <c r="F43" s="31"/>
      <c r="G43" s="32"/>
      <c r="H43" s="32"/>
      <c r="I43" s="31"/>
      <c r="J43" s="50" t="s">
        <v>68</v>
      </c>
      <c r="K43" s="63" t="s">
        <v>76</v>
      </c>
      <c r="L43" s="33">
        <v>717.6435</v>
      </c>
      <c r="M43" s="70">
        <v>144.0474525</v>
      </c>
      <c r="N43" s="65">
        <v>12.0</v>
      </c>
      <c r="O43" s="66">
        <v>45812.0</v>
      </c>
      <c r="P43" s="67">
        <v>46198.0</v>
      </c>
      <c r="Q43" s="72">
        <v>0.9</v>
      </c>
      <c r="R43" s="69" t="s">
        <v>77</v>
      </c>
    </row>
    <row r="44" ht="38.25" customHeight="1">
      <c r="A44" s="46"/>
      <c r="B44" s="61" t="s">
        <v>78</v>
      </c>
      <c r="C44" s="48">
        <v>9868.018246905678</v>
      </c>
      <c r="D44" s="51" t="s">
        <v>38</v>
      </c>
      <c r="E44" s="31"/>
      <c r="F44" s="31"/>
      <c r="G44" s="32"/>
      <c r="H44" s="32"/>
      <c r="I44" s="31"/>
      <c r="J44" s="50" t="s">
        <v>68</v>
      </c>
      <c r="K44" s="73" t="s">
        <v>79</v>
      </c>
      <c r="L44" s="33">
        <v>33837.97007253251</v>
      </c>
      <c r="M44" s="64">
        <v>9082.44</v>
      </c>
      <c r="N44" s="65">
        <v>18.0</v>
      </c>
      <c r="O44" s="66">
        <v>46029.0</v>
      </c>
      <c r="P44" s="67">
        <v>46574.0</v>
      </c>
      <c r="Q44" s="68">
        <v>0.137</v>
      </c>
      <c r="R44" s="69" t="s">
        <v>80</v>
      </c>
    </row>
    <row r="45" ht="25.5" customHeight="1">
      <c r="A45" s="46"/>
      <c r="B45" s="61" t="s">
        <v>81</v>
      </c>
      <c r="C45" s="48">
        <v>349.15603821872276</v>
      </c>
      <c r="D45" s="51" t="s">
        <v>38</v>
      </c>
      <c r="E45" s="31"/>
      <c r="F45" s="31"/>
      <c r="G45" s="32"/>
      <c r="H45" s="32"/>
      <c r="I45" s="31"/>
      <c r="J45" s="50" t="s">
        <v>68</v>
      </c>
      <c r="K45" s="63" t="s">
        <v>76</v>
      </c>
      <c r="L45" s="33">
        <v>1436.729175</v>
      </c>
      <c r="M45" s="70">
        <v>430.5</v>
      </c>
      <c r="N45" s="65">
        <v>12.0</v>
      </c>
      <c r="O45" s="66">
        <v>45812.0</v>
      </c>
      <c r="P45" s="67">
        <v>46198.0</v>
      </c>
      <c r="Q45" s="72">
        <v>0.7</v>
      </c>
      <c r="R45" s="69" t="s">
        <v>82</v>
      </c>
    </row>
    <row r="46" ht="24.0" customHeight="1">
      <c r="A46" s="46"/>
      <c r="B46" s="61" t="s">
        <v>83</v>
      </c>
      <c r="C46" s="48">
        <v>2236.5491338098677</v>
      </c>
      <c r="D46" s="51" t="s">
        <v>38</v>
      </c>
      <c r="E46" s="31"/>
      <c r="F46" s="31"/>
      <c r="G46" s="32"/>
      <c r="H46" s="32"/>
      <c r="I46" s="31"/>
      <c r="J46" s="50" t="s">
        <v>68</v>
      </c>
      <c r="K46" s="63" t="s">
        <v>79</v>
      </c>
      <c r="L46" s="33">
        <v>9022.644582</v>
      </c>
      <c r="M46" s="64">
        <v>1737.661</v>
      </c>
      <c r="N46" s="65">
        <v>18.0</v>
      </c>
      <c r="O46" s="66">
        <v>46029.0</v>
      </c>
      <c r="P46" s="67">
        <v>46574.0</v>
      </c>
      <c r="Q46" s="68">
        <v>0.137</v>
      </c>
      <c r="R46" s="69" t="s">
        <v>80</v>
      </c>
    </row>
    <row r="47" ht="55.5" customHeight="1">
      <c r="A47" s="46"/>
      <c r="B47" s="61" t="s">
        <v>84</v>
      </c>
      <c r="C47" s="48">
        <v>14175.866869242049</v>
      </c>
      <c r="D47" s="51" t="s">
        <v>38</v>
      </c>
      <c r="E47" s="31"/>
      <c r="F47" s="31"/>
      <c r="G47" s="32"/>
      <c r="H47" s="32"/>
      <c r="I47" s="31"/>
      <c r="J47" s="50" t="s">
        <v>68</v>
      </c>
      <c r="K47" s="63" t="s">
        <v>85</v>
      </c>
      <c r="L47" s="33">
        <v>57188.02058025</v>
      </c>
      <c r="M47" s="64">
        <v>24564.709</v>
      </c>
      <c r="N47" s="65">
        <v>12.0</v>
      </c>
      <c r="O47" s="66">
        <v>45818.0</v>
      </c>
      <c r="P47" s="67">
        <v>46183.0</v>
      </c>
      <c r="Q47" s="72">
        <v>0.2108</v>
      </c>
      <c r="R47" s="69" t="s">
        <v>86</v>
      </c>
    </row>
    <row r="48" ht="56.25" customHeight="1">
      <c r="A48" s="46"/>
      <c r="B48" s="61" t="s">
        <v>87</v>
      </c>
      <c r="C48" s="48">
        <v>7381.220812800507</v>
      </c>
      <c r="D48" s="51" t="s">
        <v>38</v>
      </c>
      <c r="E48" s="31"/>
      <c r="F48" s="31"/>
      <c r="G48" s="32"/>
      <c r="H48" s="32"/>
      <c r="I48" s="31"/>
      <c r="J48" s="50" t="s">
        <v>68</v>
      </c>
      <c r="K48" s="63" t="s">
        <v>79</v>
      </c>
      <c r="L48" s="33">
        <v>33694.92181226</v>
      </c>
      <c r="M48" s="64">
        <v>9710.104</v>
      </c>
      <c r="N48" s="65">
        <v>12.0</v>
      </c>
      <c r="O48" s="66">
        <v>45818.0</v>
      </c>
      <c r="P48" s="67">
        <v>46183.0</v>
      </c>
      <c r="Q48" s="68">
        <v>0.4942</v>
      </c>
      <c r="R48" s="69" t="s">
        <v>88</v>
      </c>
    </row>
    <row r="49" ht="25.5" customHeight="1">
      <c r="A49" s="46"/>
      <c r="B49" s="61" t="s">
        <v>89</v>
      </c>
      <c r="C49" s="48">
        <v>235.0200975941266</v>
      </c>
      <c r="D49" s="51" t="s">
        <v>67</v>
      </c>
      <c r="E49" s="31"/>
      <c r="F49" s="31"/>
      <c r="G49" s="32"/>
      <c r="H49" s="32"/>
      <c r="I49" s="31"/>
      <c r="J49" s="50" t="s">
        <v>68</v>
      </c>
      <c r="K49" s="63" t="s">
        <v>90</v>
      </c>
      <c r="L49" s="33">
        <v>805.896</v>
      </c>
      <c r="M49" s="70">
        <v>161.1792</v>
      </c>
      <c r="N49" s="65">
        <v>6.0</v>
      </c>
      <c r="O49" s="66">
        <v>46006.0</v>
      </c>
      <c r="P49" s="67">
        <v>46203.0</v>
      </c>
      <c r="Q49" s="71">
        <v>0.2</v>
      </c>
      <c r="R49" s="34"/>
    </row>
    <row r="50" ht="15.0" customHeight="1">
      <c r="A50" s="46"/>
      <c r="B50" s="61" t="s">
        <v>91</v>
      </c>
      <c r="C50" s="48">
        <v>3347.861868619104</v>
      </c>
      <c r="D50" s="51" t="s">
        <v>38</v>
      </c>
      <c r="E50" s="31"/>
      <c r="F50" s="31"/>
      <c r="G50" s="32"/>
      <c r="H50" s="32"/>
      <c r="I50" s="31"/>
      <c r="J50" s="55" t="s">
        <v>60</v>
      </c>
      <c r="K50" s="63"/>
      <c r="L50" s="33">
        <v>8610.0</v>
      </c>
      <c r="M50" s="70">
        <v>0.0</v>
      </c>
      <c r="N50" s="65"/>
      <c r="O50" s="66"/>
      <c r="P50" s="32"/>
      <c r="Q50" s="71"/>
      <c r="R50" s="58" t="s">
        <v>92</v>
      </c>
    </row>
    <row r="51" ht="56.25" customHeight="1">
      <c r="A51" s="46"/>
      <c r="B51" s="61" t="s">
        <v>93</v>
      </c>
      <c r="C51" s="48">
        <v>816.0413304759065</v>
      </c>
      <c r="D51" s="51" t="s">
        <v>67</v>
      </c>
      <c r="E51" s="31"/>
      <c r="F51" s="31"/>
      <c r="G51" s="32"/>
      <c r="H51" s="32"/>
      <c r="I51" s="31"/>
      <c r="J51" s="50" t="s">
        <v>68</v>
      </c>
      <c r="K51" s="73" t="s">
        <v>94</v>
      </c>
      <c r="L51" s="33">
        <v>3497.8125</v>
      </c>
      <c r="M51" s="64">
        <v>979.388</v>
      </c>
      <c r="N51" s="65">
        <v>24.0</v>
      </c>
      <c r="O51" s="66">
        <v>45938.0</v>
      </c>
      <c r="P51" s="67">
        <v>46668.0</v>
      </c>
      <c r="Q51" s="72">
        <v>0.2786</v>
      </c>
      <c r="R51" s="58" t="s">
        <v>95</v>
      </c>
    </row>
    <row r="52" ht="48.0" customHeight="1">
      <c r="A52" s="46"/>
      <c r="B52" s="61" t="s">
        <v>96</v>
      </c>
      <c r="C52" s="48">
        <v>31.33322636794412</v>
      </c>
      <c r="D52" s="51" t="s">
        <v>38</v>
      </c>
      <c r="E52" s="31"/>
      <c r="F52" s="31"/>
      <c r="G52" s="32"/>
      <c r="H52" s="32"/>
      <c r="I52" s="31"/>
      <c r="J52" s="50" t="s">
        <v>68</v>
      </c>
      <c r="K52" s="63" t="s">
        <v>97</v>
      </c>
      <c r="L52" s="33">
        <v>214.88773425</v>
      </c>
      <c r="M52" s="70">
        <v>126.060269</v>
      </c>
      <c r="N52" s="65">
        <v>6.0</v>
      </c>
      <c r="O52" s="66">
        <v>45939.0</v>
      </c>
      <c r="P52" s="67">
        <v>46121.0</v>
      </c>
      <c r="Q52" s="71">
        <v>0.7</v>
      </c>
      <c r="R52" s="69" t="s">
        <v>98</v>
      </c>
    </row>
    <row r="53" ht="36.0" customHeight="1">
      <c r="A53" s="46"/>
      <c r="B53" s="61" t="s">
        <v>99</v>
      </c>
      <c r="C53" s="48">
        <v>58.203122953726634</v>
      </c>
      <c r="D53" s="51" t="s">
        <v>38</v>
      </c>
      <c r="E53" s="31"/>
      <c r="F53" s="31"/>
      <c r="G53" s="32"/>
      <c r="H53" s="32"/>
      <c r="I53" s="31"/>
      <c r="J53" s="50" t="s">
        <v>60</v>
      </c>
      <c r="K53" s="63" t="s">
        <v>100</v>
      </c>
      <c r="L53" s="33">
        <v>239.4970508112</v>
      </c>
      <c r="M53" s="33"/>
      <c r="N53" s="33"/>
      <c r="O53" s="32"/>
      <c r="P53" s="32"/>
      <c r="Q53" s="31"/>
      <c r="R53" s="58" t="s">
        <v>92</v>
      </c>
    </row>
    <row r="54" ht="36.0" customHeight="1">
      <c r="A54" s="46"/>
      <c r="B54" s="61" t="s">
        <v>101</v>
      </c>
      <c r="C54" s="48">
        <v>16.466153366010165</v>
      </c>
      <c r="D54" s="51" t="s">
        <v>38</v>
      </c>
      <c r="E54" s="31"/>
      <c r="F54" s="31"/>
      <c r="G54" s="32"/>
      <c r="H54" s="32"/>
      <c r="I54" s="31"/>
      <c r="J54" s="50" t="s">
        <v>60</v>
      </c>
      <c r="K54" s="63" t="s">
        <v>74</v>
      </c>
      <c r="L54" s="33">
        <v>84.69549375</v>
      </c>
      <c r="M54" s="56">
        <v>16.939</v>
      </c>
      <c r="N54" s="33"/>
      <c r="O54" s="32"/>
      <c r="P54" s="32"/>
      <c r="Q54" s="31"/>
      <c r="R54" s="58" t="s">
        <v>102</v>
      </c>
    </row>
    <row r="55" ht="36.0" customHeight="1">
      <c r="A55" s="46"/>
      <c r="B55" s="61" t="s">
        <v>103</v>
      </c>
      <c r="C55" s="48">
        <v>78.21981797918258</v>
      </c>
      <c r="D55" s="51" t="s">
        <v>67</v>
      </c>
      <c r="E55" s="31"/>
      <c r="F55" s="31"/>
      <c r="G55" s="32"/>
      <c r="H55" s="32"/>
      <c r="I55" s="31"/>
      <c r="J55" s="55" t="s">
        <v>60</v>
      </c>
      <c r="K55" s="63" t="s">
        <v>100</v>
      </c>
      <c r="L55" s="33">
        <v>160.931813175</v>
      </c>
      <c r="M55" s="33"/>
      <c r="N55" s="33"/>
      <c r="O55" s="32"/>
      <c r="P55" s="32"/>
      <c r="Q55" s="31"/>
      <c r="R55" s="58" t="s">
        <v>92</v>
      </c>
    </row>
    <row r="56" ht="15.0" customHeight="1">
      <c r="A56" s="46"/>
      <c r="B56" s="61" t="s">
        <v>104</v>
      </c>
      <c r="C56" s="48">
        <v>194.41706554117908</v>
      </c>
      <c r="D56" s="51"/>
      <c r="E56" s="31"/>
      <c r="F56" s="31"/>
      <c r="G56" s="32"/>
      <c r="H56" s="32"/>
      <c r="I56" s="31"/>
      <c r="J56" s="31"/>
      <c r="K56" s="31"/>
      <c r="L56" s="33">
        <v>1000.0</v>
      </c>
      <c r="M56" s="33"/>
      <c r="N56" s="33"/>
      <c r="O56" s="32"/>
      <c r="P56" s="32"/>
      <c r="Q56" s="31"/>
      <c r="R56" s="58" t="s">
        <v>105</v>
      </c>
    </row>
    <row r="57" ht="15.0" customHeight="1">
      <c r="A57" s="46"/>
      <c r="B57" s="61"/>
      <c r="C57" s="48"/>
      <c r="D57" s="31"/>
      <c r="E57" s="31"/>
      <c r="F57" s="31"/>
      <c r="G57" s="32"/>
      <c r="H57" s="32"/>
      <c r="I57" s="31"/>
      <c r="J57" s="31"/>
      <c r="K57" s="31"/>
      <c r="L57" s="33"/>
      <c r="M57" s="33"/>
      <c r="N57" s="33"/>
      <c r="O57" s="32"/>
      <c r="P57" s="32"/>
      <c r="Q57" s="31"/>
      <c r="R57" s="34"/>
    </row>
    <row r="58" ht="15.0" customHeight="1">
      <c r="A58" s="46"/>
      <c r="B58" s="62" t="s">
        <v>106</v>
      </c>
      <c r="C58" s="30">
        <f>SUM(C59:C66)</f>
        <v>4999.999794</v>
      </c>
      <c r="D58" s="31"/>
      <c r="E58" s="31"/>
      <c r="F58" s="31"/>
      <c r="G58" s="32"/>
      <c r="H58" s="32"/>
      <c r="I58" s="31"/>
      <c r="J58" s="31"/>
      <c r="K58" s="31"/>
      <c r="L58" s="33"/>
      <c r="M58" s="33"/>
      <c r="N58" s="33"/>
      <c r="O58" s="32"/>
      <c r="P58" s="32"/>
      <c r="Q58" s="31"/>
      <c r="R58" s="34"/>
    </row>
    <row r="59" ht="15.0" customHeight="1">
      <c r="A59" s="46"/>
      <c r="B59" s="61" t="s">
        <v>107</v>
      </c>
      <c r="C59" s="48">
        <v>157.828</v>
      </c>
      <c r="D59" s="51" t="s">
        <v>38</v>
      </c>
      <c r="E59" s="31"/>
      <c r="F59" s="31"/>
      <c r="G59" s="32"/>
      <c r="H59" s="32"/>
      <c r="I59" s="31"/>
      <c r="J59" s="55" t="s">
        <v>108</v>
      </c>
      <c r="K59" s="31"/>
      <c r="L59" s="33"/>
      <c r="M59" s="33"/>
      <c r="N59" s="33"/>
      <c r="O59" s="32"/>
      <c r="P59" s="32"/>
      <c r="Q59" s="31"/>
      <c r="R59" s="58" t="s">
        <v>109</v>
      </c>
    </row>
    <row r="60" ht="34.5" customHeight="1">
      <c r="A60" s="46"/>
      <c r="B60" s="61" t="s">
        <v>110</v>
      </c>
      <c r="C60" s="48">
        <v>17.569</v>
      </c>
      <c r="D60" s="51" t="s">
        <v>38</v>
      </c>
      <c r="E60" s="31"/>
      <c r="F60" s="31"/>
      <c r="G60" s="32"/>
      <c r="H60" s="32"/>
      <c r="I60" s="31"/>
      <c r="J60" s="55" t="s">
        <v>52</v>
      </c>
      <c r="K60" s="31"/>
      <c r="L60" s="33"/>
      <c r="M60" s="33"/>
      <c r="N60" s="33"/>
      <c r="O60" s="32"/>
      <c r="P60" s="32"/>
      <c r="Q60" s="31"/>
      <c r="R60" s="69" t="s">
        <v>111</v>
      </c>
    </row>
    <row r="61" ht="38.25" customHeight="1">
      <c r="A61" s="46"/>
      <c r="B61" s="61" t="s">
        <v>112</v>
      </c>
      <c r="C61" s="48">
        <v>30.722</v>
      </c>
      <c r="D61" s="51" t="s">
        <v>38</v>
      </c>
      <c r="E61" s="31"/>
      <c r="F61" s="31"/>
      <c r="G61" s="32"/>
      <c r="H61" s="32"/>
      <c r="I61" s="31"/>
      <c r="J61" s="55" t="s">
        <v>52</v>
      </c>
      <c r="K61" s="31"/>
      <c r="L61" s="33"/>
      <c r="M61" s="33"/>
      <c r="N61" s="33"/>
      <c r="O61" s="32"/>
      <c r="P61" s="32"/>
      <c r="Q61" s="31"/>
      <c r="R61" s="69" t="s">
        <v>113</v>
      </c>
    </row>
    <row r="62" ht="21.0" customHeight="1">
      <c r="A62" s="46"/>
      <c r="B62" s="61" t="s">
        <v>114</v>
      </c>
      <c r="C62" s="48">
        <v>64.575</v>
      </c>
      <c r="D62" s="51" t="s">
        <v>38</v>
      </c>
      <c r="E62" s="31"/>
      <c r="F62" s="31"/>
      <c r="G62" s="32"/>
      <c r="H62" s="32"/>
      <c r="I62" s="31"/>
      <c r="J62" s="55" t="s">
        <v>29</v>
      </c>
      <c r="K62" s="31"/>
      <c r="L62" s="33"/>
      <c r="M62" s="33"/>
      <c r="N62" s="33"/>
      <c r="O62" s="32"/>
      <c r="P62" s="32"/>
      <c r="Q62" s="31"/>
      <c r="R62" s="69" t="s">
        <v>115</v>
      </c>
    </row>
    <row r="63" ht="15.0" customHeight="1">
      <c r="A63" s="46"/>
      <c r="B63" s="61" t="s">
        <v>116</v>
      </c>
      <c r="C63" s="48">
        <v>440.975</v>
      </c>
      <c r="D63" s="51" t="s">
        <v>38</v>
      </c>
      <c r="E63" s="31"/>
      <c r="F63" s="31"/>
      <c r="G63" s="32"/>
      <c r="H63" s="32"/>
      <c r="I63" s="31"/>
      <c r="J63" s="50" t="s">
        <v>29</v>
      </c>
      <c r="K63" s="31"/>
      <c r="L63" s="33"/>
      <c r="M63" s="33"/>
      <c r="N63" s="33"/>
      <c r="O63" s="32"/>
      <c r="P63" s="32"/>
      <c r="Q63" s="31"/>
      <c r="R63" s="58" t="s">
        <v>117</v>
      </c>
    </row>
    <row r="64" ht="15.0" customHeight="1">
      <c r="A64" s="46"/>
      <c r="B64" s="61" t="s">
        <v>118</v>
      </c>
      <c r="C64" s="48">
        <v>612.1567935</v>
      </c>
      <c r="D64" s="51" t="s">
        <v>38</v>
      </c>
      <c r="E64" s="31"/>
      <c r="F64" s="31"/>
      <c r="G64" s="32"/>
      <c r="H64" s="32"/>
      <c r="I64" s="31"/>
      <c r="J64" s="55" t="s">
        <v>29</v>
      </c>
      <c r="K64" s="31"/>
      <c r="L64" s="33"/>
      <c r="M64" s="33"/>
      <c r="N64" s="33"/>
      <c r="O64" s="32"/>
      <c r="P64" s="32"/>
      <c r="Q64" s="31"/>
      <c r="R64" s="69" t="s">
        <v>119</v>
      </c>
    </row>
    <row r="65" ht="15.0" customHeight="1">
      <c r="A65" s="46"/>
      <c r="B65" s="61" t="s">
        <v>120</v>
      </c>
      <c r="C65" s="48">
        <v>904.05</v>
      </c>
      <c r="D65" s="51" t="s">
        <v>38</v>
      </c>
      <c r="E65" s="31"/>
      <c r="F65" s="31"/>
      <c r="G65" s="32"/>
      <c r="H65" s="32"/>
      <c r="I65" s="31"/>
      <c r="J65" s="55" t="s">
        <v>108</v>
      </c>
      <c r="K65" s="31"/>
      <c r="L65" s="33"/>
      <c r="M65" s="33"/>
      <c r="N65" s="33"/>
      <c r="O65" s="32"/>
      <c r="P65" s="32"/>
      <c r="Q65" s="31"/>
      <c r="R65" s="58" t="s">
        <v>109</v>
      </c>
    </row>
    <row r="66" ht="24.75" customHeight="1">
      <c r="A66" s="46"/>
      <c r="B66" s="74" t="s">
        <v>121</v>
      </c>
      <c r="C66" s="48">
        <v>2772.1240000000003</v>
      </c>
      <c r="D66" s="49" t="s">
        <v>38</v>
      </c>
      <c r="E66" s="31"/>
      <c r="F66" s="31"/>
      <c r="G66" s="32"/>
      <c r="H66" s="32"/>
      <c r="I66" s="31"/>
      <c r="J66" s="55" t="s">
        <v>29</v>
      </c>
      <c r="K66" s="31"/>
      <c r="L66" s="33"/>
      <c r="M66" s="33"/>
      <c r="N66" s="33"/>
      <c r="O66" s="32"/>
      <c r="P66" s="32"/>
      <c r="Q66" s="31"/>
      <c r="R66" s="69" t="s">
        <v>122</v>
      </c>
    </row>
    <row r="67" ht="15.0" customHeight="1">
      <c r="A67" s="46"/>
      <c r="B67" s="46"/>
      <c r="C67" s="30"/>
      <c r="D67" s="31"/>
      <c r="E67" s="31"/>
      <c r="F67" s="31"/>
      <c r="G67" s="32"/>
      <c r="H67" s="32"/>
      <c r="I67" s="31"/>
      <c r="J67" s="31"/>
      <c r="K67" s="31"/>
      <c r="L67" s="33"/>
      <c r="M67" s="33"/>
      <c r="N67" s="33"/>
      <c r="O67" s="32"/>
      <c r="P67" s="32"/>
      <c r="Q67" s="31"/>
      <c r="R67" s="34"/>
    </row>
    <row r="68" ht="15.0" customHeight="1">
      <c r="A68" s="35">
        <v>343.0</v>
      </c>
      <c r="B68" s="35" t="s">
        <v>123</v>
      </c>
      <c r="C68" s="36">
        <f>SUM(C70,C99,C184)</f>
        <v>10125</v>
      </c>
      <c r="D68" s="14"/>
      <c r="E68" s="14"/>
      <c r="F68" s="14"/>
      <c r="G68" s="37"/>
      <c r="H68" s="37"/>
      <c r="I68" s="14"/>
      <c r="J68" s="14"/>
      <c r="K68" s="14"/>
      <c r="L68" s="38"/>
      <c r="M68" s="38"/>
      <c r="N68" s="38"/>
      <c r="O68" s="37"/>
      <c r="P68" s="37"/>
      <c r="Q68" s="14"/>
      <c r="R68" s="39"/>
    </row>
    <row r="69" ht="15.0" customHeight="1">
      <c r="A69" s="29"/>
      <c r="B69" s="29"/>
      <c r="C69" s="30"/>
      <c r="D69" s="31"/>
      <c r="E69" s="31"/>
      <c r="F69" s="31"/>
      <c r="G69" s="32"/>
      <c r="H69" s="32"/>
      <c r="I69" s="31"/>
      <c r="J69" s="31"/>
      <c r="K69" s="31"/>
      <c r="L69" s="33"/>
      <c r="M69" s="33"/>
      <c r="N69" s="33"/>
      <c r="O69" s="32"/>
      <c r="P69" s="32"/>
      <c r="Q69" s="31"/>
      <c r="R69" s="34"/>
    </row>
    <row r="70" ht="15.0" customHeight="1">
      <c r="A70" s="40">
        <v>2802100.0</v>
      </c>
      <c r="B70" s="40" t="s">
        <v>124</v>
      </c>
      <c r="C70" s="41">
        <f>SUM(C71:C97)</f>
        <v>1500</v>
      </c>
      <c r="D70" s="42"/>
      <c r="E70" s="42"/>
      <c r="F70" s="42"/>
      <c r="G70" s="43"/>
      <c r="H70" s="43"/>
      <c r="I70" s="42"/>
      <c r="J70" s="42"/>
      <c r="K70" s="42"/>
      <c r="L70" s="75">
        <f>sum(L71:L97)</f>
        <v>294.122749</v>
      </c>
      <c r="M70" s="44"/>
      <c r="N70" s="44"/>
      <c r="O70" s="43"/>
      <c r="P70" s="43"/>
      <c r="Q70" s="42"/>
      <c r="R70" s="45"/>
    </row>
    <row r="71" ht="25.5" customHeight="1">
      <c r="A71" s="76" t="s">
        <v>125</v>
      </c>
      <c r="B71" s="62" t="s">
        <v>126</v>
      </c>
      <c r="C71" s="48">
        <v>200.0</v>
      </c>
      <c r="D71" s="51" t="s">
        <v>38</v>
      </c>
      <c r="E71" s="77">
        <v>46042.0</v>
      </c>
      <c r="F71" s="77">
        <v>46070.0</v>
      </c>
      <c r="G71" s="32"/>
      <c r="H71" s="32"/>
      <c r="I71" s="31"/>
      <c r="J71" s="55" t="s">
        <v>40</v>
      </c>
      <c r="K71" s="78"/>
      <c r="L71" s="33"/>
      <c r="M71" s="33"/>
      <c r="N71" s="33"/>
      <c r="O71" s="32"/>
      <c r="P71" s="32"/>
      <c r="Q71" s="31"/>
      <c r="R71" s="79" t="s">
        <v>127</v>
      </c>
    </row>
    <row r="72" ht="15.0" customHeight="1">
      <c r="A72" s="76"/>
      <c r="B72" s="80" t="s">
        <v>128</v>
      </c>
      <c r="C72" s="48"/>
      <c r="D72" s="49" t="s">
        <v>67</v>
      </c>
      <c r="E72" s="77">
        <v>46077.0</v>
      </c>
      <c r="F72" s="77">
        <v>46098.0</v>
      </c>
      <c r="G72" s="32"/>
      <c r="H72" s="32"/>
      <c r="I72" s="77">
        <v>46112.0</v>
      </c>
      <c r="J72" s="55" t="s">
        <v>60</v>
      </c>
      <c r="K72" s="73" t="s">
        <v>129</v>
      </c>
      <c r="L72" s="56">
        <v>52.68205</v>
      </c>
      <c r="M72" s="33"/>
      <c r="N72" s="33"/>
      <c r="O72" s="32"/>
      <c r="P72" s="32"/>
      <c r="Q72" s="31"/>
      <c r="R72" s="58"/>
    </row>
    <row r="73" ht="15.0" customHeight="1">
      <c r="A73" s="76" t="s">
        <v>130</v>
      </c>
      <c r="B73" s="62" t="s">
        <v>131</v>
      </c>
      <c r="C73" s="48">
        <v>40.0</v>
      </c>
      <c r="D73" s="51" t="s">
        <v>38</v>
      </c>
      <c r="E73" s="53"/>
      <c r="F73" s="53"/>
      <c r="G73" s="32"/>
      <c r="H73" s="32"/>
      <c r="I73" s="31"/>
      <c r="J73" s="55"/>
      <c r="K73" s="78"/>
      <c r="L73" s="33"/>
      <c r="M73" s="33"/>
      <c r="N73" s="33"/>
      <c r="O73" s="32"/>
      <c r="P73" s="32"/>
      <c r="Q73" s="31"/>
      <c r="R73" s="81" t="s">
        <v>132</v>
      </c>
    </row>
    <row r="74" ht="15.0" customHeight="1">
      <c r="A74" s="76"/>
      <c r="B74" s="80" t="s">
        <v>133</v>
      </c>
      <c r="C74" s="48"/>
      <c r="D74" s="49" t="s">
        <v>67</v>
      </c>
      <c r="E74" s="77">
        <v>46090.0</v>
      </c>
      <c r="F74" s="77">
        <v>46104.0</v>
      </c>
      <c r="G74" s="53"/>
      <c r="H74" s="32"/>
      <c r="I74" s="77">
        <v>46112.0</v>
      </c>
      <c r="J74" s="55" t="s">
        <v>60</v>
      </c>
      <c r="K74" s="73" t="s">
        <v>134</v>
      </c>
      <c r="L74" s="56">
        <v>17.839699</v>
      </c>
      <c r="M74" s="33"/>
      <c r="N74" s="33"/>
      <c r="O74" s="32"/>
      <c r="P74" s="32"/>
      <c r="Q74" s="31"/>
      <c r="R74" s="82" t="s">
        <v>135</v>
      </c>
    </row>
    <row r="75" ht="15.0" customHeight="1">
      <c r="A75" s="76" t="s">
        <v>136</v>
      </c>
      <c r="B75" s="80" t="s">
        <v>137</v>
      </c>
      <c r="C75" s="48"/>
      <c r="D75" s="49" t="s">
        <v>28</v>
      </c>
      <c r="E75" s="77">
        <v>46078.0</v>
      </c>
      <c r="F75" s="77">
        <v>46087.0</v>
      </c>
      <c r="G75" s="53"/>
      <c r="H75" s="32"/>
      <c r="I75" s="77">
        <v>46087.0</v>
      </c>
      <c r="J75" s="55" t="s">
        <v>60</v>
      </c>
      <c r="K75" s="73" t="s">
        <v>138</v>
      </c>
      <c r="L75" s="56">
        <v>5.471</v>
      </c>
      <c r="M75" s="33"/>
      <c r="N75" s="33"/>
      <c r="O75" s="32"/>
      <c r="P75" s="32"/>
      <c r="Q75" s="31"/>
      <c r="R75" s="82" t="s">
        <v>139</v>
      </c>
    </row>
    <row r="76" ht="15.0" customHeight="1">
      <c r="A76" s="76" t="s">
        <v>140</v>
      </c>
      <c r="B76" s="80" t="s">
        <v>141</v>
      </c>
      <c r="C76" s="48"/>
      <c r="D76" s="49" t="s">
        <v>28</v>
      </c>
      <c r="E76" s="77">
        <v>46078.0</v>
      </c>
      <c r="F76" s="77">
        <v>46087.0</v>
      </c>
      <c r="G76" s="53"/>
      <c r="H76" s="32"/>
      <c r="I76" s="77">
        <v>46087.0</v>
      </c>
      <c r="J76" s="55" t="s">
        <v>60</v>
      </c>
      <c r="K76" s="73" t="s">
        <v>142</v>
      </c>
      <c r="L76" s="56">
        <v>2.28</v>
      </c>
      <c r="M76" s="33"/>
      <c r="N76" s="33"/>
      <c r="O76" s="32"/>
      <c r="P76" s="32"/>
      <c r="Q76" s="31"/>
      <c r="R76" s="82" t="s">
        <v>139</v>
      </c>
    </row>
    <row r="77" ht="15.0" customHeight="1">
      <c r="A77" s="76" t="s">
        <v>143</v>
      </c>
      <c r="B77" s="61" t="s">
        <v>144</v>
      </c>
      <c r="C77" s="48">
        <v>20.0</v>
      </c>
      <c r="D77" s="49" t="s">
        <v>67</v>
      </c>
      <c r="E77" s="53" t="s">
        <v>145</v>
      </c>
      <c r="F77" s="53" t="s">
        <v>145</v>
      </c>
      <c r="G77" s="53"/>
      <c r="H77" s="32"/>
      <c r="I77" s="31"/>
      <c r="J77" s="55" t="s">
        <v>60</v>
      </c>
      <c r="K77" s="73" t="s">
        <v>146</v>
      </c>
      <c r="L77" s="33"/>
      <c r="M77" s="33"/>
      <c r="N77" s="33"/>
      <c r="O77" s="32"/>
      <c r="P77" s="32"/>
      <c r="Q77" s="31"/>
      <c r="R77" s="82" t="s">
        <v>147</v>
      </c>
    </row>
    <row r="78" ht="15.0" customHeight="1">
      <c r="A78" s="76" t="s">
        <v>148</v>
      </c>
      <c r="B78" s="61" t="s">
        <v>149</v>
      </c>
      <c r="C78" s="48">
        <v>15.0</v>
      </c>
      <c r="D78" s="49" t="s">
        <v>67</v>
      </c>
      <c r="E78" s="53" t="s">
        <v>145</v>
      </c>
      <c r="F78" s="53" t="s">
        <v>145</v>
      </c>
      <c r="G78" s="53"/>
      <c r="H78" s="32"/>
      <c r="I78" s="31"/>
      <c r="J78" s="55" t="s">
        <v>60</v>
      </c>
      <c r="K78" s="73" t="s">
        <v>146</v>
      </c>
      <c r="L78" s="33"/>
      <c r="M78" s="33"/>
      <c r="N78" s="33"/>
      <c r="O78" s="32"/>
      <c r="P78" s="32"/>
      <c r="Q78" s="31"/>
      <c r="R78" s="82" t="s">
        <v>147</v>
      </c>
    </row>
    <row r="79" ht="15.0" customHeight="1">
      <c r="A79" s="76" t="s">
        <v>150</v>
      </c>
      <c r="B79" s="61" t="s">
        <v>151</v>
      </c>
      <c r="C79" s="48">
        <v>60.0</v>
      </c>
      <c r="D79" s="51" t="s">
        <v>38</v>
      </c>
      <c r="E79" s="77">
        <v>46082.0</v>
      </c>
      <c r="F79" s="77">
        <v>46106.0</v>
      </c>
      <c r="G79" s="32"/>
      <c r="H79" s="32"/>
      <c r="I79" s="31"/>
      <c r="J79" s="55" t="s">
        <v>40</v>
      </c>
      <c r="K79" s="63"/>
      <c r="L79" s="33"/>
      <c r="M79" s="33"/>
      <c r="N79" s="33"/>
      <c r="O79" s="32"/>
      <c r="P79" s="32"/>
      <c r="Q79" s="31"/>
      <c r="R79" s="83" t="s">
        <v>152</v>
      </c>
    </row>
    <row r="80" ht="25.5" customHeight="1">
      <c r="A80" s="76" t="s">
        <v>153</v>
      </c>
      <c r="B80" s="61" t="s">
        <v>154</v>
      </c>
      <c r="C80" s="48">
        <v>160.0</v>
      </c>
      <c r="D80" s="51" t="s">
        <v>38</v>
      </c>
      <c r="E80" s="77">
        <v>46028.0</v>
      </c>
      <c r="F80" s="77">
        <v>46056.0</v>
      </c>
      <c r="G80" s="32"/>
      <c r="H80" s="32"/>
      <c r="I80" s="31"/>
      <c r="J80" s="55" t="s">
        <v>40</v>
      </c>
      <c r="K80" s="63"/>
      <c r="L80" s="33"/>
      <c r="M80" s="33"/>
      <c r="N80" s="33"/>
      <c r="O80" s="32"/>
      <c r="P80" s="32"/>
      <c r="Q80" s="31"/>
      <c r="R80" s="83" t="s">
        <v>152</v>
      </c>
    </row>
    <row r="81" ht="15.0" customHeight="1">
      <c r="A81" s="76" t="s">
        <v>155</v>
      </c>
      <c r="B81" s="61" t="s">
        <v>156</v>
      </c>
      <c r="C81" s="48">
        <v>6.0</v>
      </c>
      <c r="D81" s="49" t="s">
        <v>67</v>
      </c>
      <c r="E81" s="53" t="s">
        <v>145</v>
      </c>
      <c r="F81" s="53" t="s">
        <v>145</v>
      </c>
      <c r="G81" s="32"/>
      <c r="H81" s="32"/>
      <c r="I81" s="31"/>
      <c r="J81" s="55" t="s">
        <v>60</v>
      </c>
      <c r="K81" s="73" t="s">
        <v>157</v>
      </c>
      <c r="L81" s="33"/>
      <c r="M81" s="33"/>
      <c r="N81" s="33"/>
      <c r="O81" s="32"/>
      <c r="P81" s="32"/>
      <c r="Q81" s="31"/>
      <c r="R81" s="84" t="s">
        <v>158</v>
      </c>
    </row>
    <row r="82" ht="15.0" customHeight="1">
      <c r="A82" s="76" t="s">
        <v>159</v>
      </c>
      <c r="B82" s="61" t="s">
        <v>160</v>
      </c>
      <c r="C82" s="48">
        <v>22.0</v>
      </c>
      <c r="D82" s="51" t="s">
        <v>38</v>
      </c>
      <c r="E82" s="77">
        <v>46042.0</v>
      </c>
      <c r="F82" s="77">
        <v>46070.0</v>
      </c>
      <c r="G82" s="32"/>
      <c r="H82" s="32"/>
      <c r="I82" s="77">
        <v>46084.0</v>
      </c>
      <c r="J82" s="55" t="s">
        <v>60</v>
      </c>
      <c r="K82" s="73" t="s">
        <v>161</v>
      </c>
      <c r="L82" s="56">
        <v>19.11</v>
      </c>
      <c r="M82" s="33"/>
      <c r="N82" s="33"/>
      <c r="O82" s="32"/>
      <c r="P82" s="32"/>
      <c r="Q82" s="31"/>
      <c r="R82" s="83" t="s">
        <v>162</v>
      </c>
    </row>
    <row r="83" ht="25.5" customHeight="1">
      <c r="A83" s="76" t="s">
        <v>163</v>
      </c>
      <c r="B83" s="61" t="s">
        <v>164</v>
      </c>
      <c r="C83" s="48">
        <v>47.0</v>
      </c>
      <c r="D83" s="51" t="s">
        <v>38</v>
      </c>
      <c r="E83" s="77">
        <v>46082.0</v>
      </c>
      <c r="F83" s="77">
        <v>46106.0</v>
      </c>
      <c r="G83" s="32"/>
      <c r="H83" s="32"/>
      <c r="I83" s="31"/>
      <c r="J83" s="55" t="s">
        <v>40</v>
      </c>
      <c r="K83" s="78"/>
      <c r="L83" s="33"/>
      <c r="M83" s="33"/>
      <c r="N83" s="33"/>
      <c r="O83" s="32"/>
      <c r="P83" s="32"/>
      <c r="Q83" s="31"/>
      <c r="R83" s="83" t="s">
        <v>152</v>
      </c>
    </row>
    <row r="84" ht="15.0" customHeight="1">
      <c r="A84" s="76" t="s">
        <v>165</v>
      </c>
      <c r="B84" s="61" t="s">
        <v>166</v>
      </c>
      <c r="C84" s="48">
        <v>35.0</v>
      </c>
      <c r="D84" s="51" t="s">
        <v>38</v>
      </c>
      <c r="E84" s="77">
        <v>46042.0</v>
      </c>
      <c r="F84" s="77">
        <v>46070.0</v>
      </c>
      <c r="G84" s="32"/>
      <c r="H84" s="32"/>
      <c r="I84" s="77">
        <v>46084.0</v>
      </c>
      <c r="J84" s="55" t="s">
        <v>60</v>
      </c>
      <c r="K84" s="73" t="s">
        <v>167</v>
      </c>
      <c r="L84" s="56">
        <v>32.41</v>
      </c>
      <c r="M84" s="33"/>
      <c r="N84" s="33"/>
      <c r="O84" s="32"/>
      <c r="P84" s="32"/>
      <c r="Q84" s="31"/>
      <c r="R84" s="83" t="s">
        <v>162</v>
      </c>
    </row>
    <row r="85" ht="51.0" customHeight="1">
      <c r="A85" s="76" t="s">
        <v>168</v>
      </c>
      <c r="B85" s="61" t="s">
        <v>169</v>
      </c>
      <c r="C85" s="48">
        <v>33.0</v>
      </c>
      <c r="D85" s="51" t="s">
        <v>38</v>
      </c>
      <c r="E85" s="77">
        <v>46042.0</v>
      </c>
      <c r="F85" s="77">
        <v>46070.0</v>
      </c>
      <c r="G85" s="32"/>
      <c r="H85" s="32"/>
      <c r="I85" s="77">
        <v>46084.0</v>
      </c>
      <c r="J85" s="55" t="s">
        <v>60</v>
      </c>
      <c r="K85" s="73" t="s">
        <v>170</v>
      </c>
      <c r="L85" s="56">
        <v>34.69</v>
      </c>
      <c r="M85" s="33"/>
      <c r="N85" s="33"/>
      <c r="O85" s="32"/>
      <c r="P85" s="32"/>
      <c r="Q85" s="31"/>
      <c r="R85" s="85" t="s">
        <v>171</v>
      </c>
    </row>
    <row r="86" ht="25.5" customHeight="1">
      <c r="A86" s="76" t="s">
        <v>172</v>
      </c>
      <c r="B86" s="61" t="s">
        <v>173</v>
      </c>
      <c r="C86" s="48">
        <v>100.0</v>
      </c>
      <c r="D86" s="51" t="s">
        <v>38</v>
      </c>
      <c r="E86" s="53"/>
      <c r="F86" s="53"/>
      <c r="G86" s="32"/>
      <c r="H86" s="32"/>
      <c r="I86" s="31"/>
      <c r="J86" s="55"/>
      <c r="K86" s="63"/>
      <c r="L86" s="33"/>
      <c r="M86" s="33"/>
      <c r="N86" s="33"/>
      <c r="O86" s="32"/>
      <c r="P86" s="32"/>
      <c r="Q86" s="31"/>
      <c r="R86" s="83" t="s">
        <v>152</v>
      </c>
    </row>
    <row r="87" ht="15.0" customHeight="1">
      <c r="A87" s="76"/>
      <c r="B87" s="80" t="s">
        <v>174</v>
      </c>
      <c r="C87" s="48"/>
      <c r="D87" s="49" t="s">
        <v>38</v>
      </c>
      <c r="E87" s="77">
        <v>46042.0</v>
      </c>
      <c r="F87" s="77">
        <v>46070.0</v>
      </c>
      <c r="G87" s="32"/>
      <c r="H87" s="32"/>
      <c r="I87" s="77">
        <v>46084.0</v>
      </c>
      <c r="J87" s="55" t="s">
        <v>60</v>
      </c>
      <c r="K87" s="73" t="s">
        <v>175</v>
      </c>
      <c r="L87" s="56">
        <v>46.94</v>
      </c>
      <c r="M87" s="33"/>
      <c r="N87" s="33"/>
      <c r="O87" s="32"/>
      <c r="P87" s="32"/>
      <c r="Q87" s="31"/>
      <c r="R87" s="83" t="s">
        <v>162</v>
      </c>
    </row>
    <row r="88" ht="15.0" customHeight="1">
      <c r="A88" s="76"/>
      <c r="B88" s="80" t="s">
        <v>176</v>
      </c>
      <c r="C88" s="48"/>
      <c r="D88" s="49" t="s">
        <v>38</v>
      </c>
      <c r="E88" s="77">
        <v>46042.0</v>
      </c>
      <c r="F88" s="77">
        <v>46070.0</v>
      </c>
      <c r="G88" s="32"/>
      <c r="H88" s="32"/>
      <c r="I88" s="77">
        <v>46084.0</v>
      </c>
      <c r="J88" s="55" t="s">
        <v>60</v>
      </c>
      <c r="K88" s="73" t="s">
        <v>170</v>
      </c>
      <c r="L88" s="56">
        <v>53.54</v>
      </c>
      <c r="M88" s="33"/>
      <c r="N88" s="33"/>
      <c r="O88" s="32"/>
      <c r="P88" s="32"/>
      <c r="Q88" s="31"/>
      <c r="R88" s="83" t="s">
        <v>162</v>
      </c>
    </row>
    <row r="89" ht="15.0" customHeight="1">
      <c r="A89" s="76" t="s">
        <v>177</v>
      </c>
      <c r="B89" s="61" t="s">
        <v>178</v>
      </c>
      <c r="C89" s="48">
        <v>67.0</v>
      </c>
      <c r="D89" s="51" t="s">
        <v>38</v>
      </c>
      <c r="E89" s="31"/>
      <c r="F89" s="31"/>
      <c r="G89" s="32"/>
      <c r="H89" s="32"/>
      <c r="I89" s="31"/>
      <c r="J89" s="55" t="s">
        <v>108</v>
      </c>
      <c r="K89" s="78"/>
      <c r="L89" s="33"/>
      <c r="M89" s="33"/>
      <c r="N89" s="33"/>
      <c r="O89" s="32"/>
      <c r="P89" s="32"/>
      <c r="Q89" s="31"/>
      <c r="R89" s="84" t="s">
        <v>179</v>
      </c>
    </row>
    <row r="90" ht="15.0" customHeight="1">
      <c r="A90" s="76" t="s">
        <v>180</v>
      </c>
      <c r="B90" s="62" t="s">
        <v>181</v>
      </c>
      <c r="C90" s="48">
        <v>20.0</v>
      </c>
      <c r="D90" s="51"/>
      <c r="E90" s="53"/>
      <c r="F90" s="53"/>
      <c r="G90" s="32"/>
      <c r="H90" s="32"/>
      <c r="I90" s="31"/>
      <c r="J90" s="55" t="s">
        <v>40</v>
      </c>
      <c r="K90" s="78"/>
      <c r="L90" s="33"/>
      <c r="M90" s="33"/>
      <c r="N90" s="33"/>
      <c r="O90" s="32"/>
      <c r="P90" s="32"/>
      <c r="Q90" s="31"/>
      <c r="R90" s="84"/>
    </row>
    <row r="91" ht="15.0" customHeight="1">
      <c r="A91" s="76"/>
      <c r="B91" s="80" t="s">
        <v>182</v>
      </c>
      <c r="C91" s="48"/>
      <c r="D91" s="49" t="s">
        <v>28</v>
      </c>
      <c r="E91" s="77">
        <v>46035.0</v>
      </c>
      <c r="F91" s="77">
        <v>46098.0</v>
      </c>
      <c r="G91" s="32"/>
      <c r="H91" s="32"/>
      <c r="I91" s="77">
        <v>46112.0</v>
      </c>
      <c r="J91" s="55" t="s">
        <v>60</v>
      </c>
      <c r="K91" s="73" t="s">
        <v>183</v>
      </c>
      <c r="L91" s="56">
        <v>8.25</v>
      </c>
      <c r="M91" s="33"/>
      <c r="N91" s="33"/>
      <c r="O91" s="86">
        <v>46125.0</v>
      </c>
      <c r="P91" s="86">
        <v>46154.0</v>
      </c>
      <c r="Q91" s="31"/>
      <c r="R91" s="85" t="s">
        <v>184</v>
      </c>
    </row>
    <row r="92" ht="15.0" customHeight="1">
      <c r="A92" s="76"/>
      <c r="B92" s="80" t="s">
        <v>185</v>
      </c>
      <c r="C92" s="48"/>
      <c r="D92" s="49" t="s">
        <v>28</v>
      </c>
      <c r="E92" s="87">
        <v>46100.0</v>
      </c>
      <c r="F92" s="77">
        <v>46107.0</v>
      </c>
      <c r="G92" s="32"/>
      <c r="H92" s="32"/>
      <c r="I92" s="77">
        <v>46112.0</v>
      </c>
      <c r="J92" s="55" t="s">
        <v>60</v>
      </c>
      <c r="K92" s="73" t="s">
        <v>186</v>
      </c>
      <c r="L92" s="56">
        <v>1.01</v>
      </c>
      <c r="M92" s="33"/>
      <c r="N92" s="33"/>
      <c r="O92" s="86">
        <v>46125.0</v>
      </c>
      <c r="P92" s="86">
        <v>46154.0</v>
      </c>
      <c r="Q92" s="31"/>
      <c r="R92" s="85" t="s">
        <v>184</v>
      </c>
    </row>
    <row r="93" ht="15.0" customHeight="1">
      <c r="A93" s="76" t="s">
        <v>187</v>
      </c>
      <c r="B93" s="61" t="s">
        <v>188</v>
      </c>
      <c r="C93" s="48">
        <v>60.0</v>
      </c>
      <c r="D93" s="51" t="s">
        <v>38</v>
      </c>
      <c r="E93" s="53" t="s">
        <v>145</v>
      </c>
      <c r="F93" s="53" t="s">
        <v>145</v>
      </c>
      <c r="G93" s="32"/>
      <c r="H93" s="32"/>
      <c r="I93" s="31"/>
      <c r="J93" s="55" t="s">
        <v>40</v>
      </c>
      <c r="K93" s="78"/>
      <c r="L93" s="33"/>
      <c r="M93" s="33"/>
      <c r="N93" s="33"/>
      <c r="O93" s="32"/>
      <c r="P93" s="32"/>
      <c r="Q93" s="31"/>
      <c r="R93" s="85" t="s">
        <v>189</v>
      </c>
    </row>
    <row r="94" ht="51.0" customHeight="1">
      <c r="A94" s="76" t="s">
        <v>190</v>
      </c>
      <c r="B94" s="61" t="s">
        <v>191</v>
      </c>
      <c r="C94" s="48">
        <v>245.0</v>
      </c>
      <c r="D94" s="51" t="s">
        <v>38</v>
      </c>
      <c r="E94" s="77">
        <v>46028.0</v>
      </c>
      <c r="F94" s="77">
        <v>46056.0</v>
      </c>
      <c r="G94" s="32"/>
      <c r="H94" s="32"/>
      <c r="I94" s="31"/>
      <c r="J94" s="55" t="s">
        <v>40</v>
      </c>
      <c r="K94" s="78"/>
      <c r="L94" s="33"/>
      <c r="M94" s="33"/>
      <c r="N94" s="33"/>
      <c r="O94" s="32"/>
      <c r="P94" s="32"/>
      <c r="Q94" s="31"/>
      <c r="R94" s="83" t="s">
        <v>152</v>
      </c>
    </row>
    <row r="95" ht="15.0" customHeight="1">
      <c r="A95" s="76" t="s">
        <v>192</v>
      </c>
      <c r="B95" s="61" t="s">
        <v>193</v>
      </c>
      <c r="C95" s="48">
        <v>25.0</v>
      </c>
      <c r="D95" s="49" t="s">
        <v>67</v>
      </c>
      <c r="E95" s="77">
        <v>46106.0</v>
      </c>
      <c r="F95" s="77">
        <v>46108.0</v>
      </c>
      <c r="G95" s="32"/>
      <c r="H95" s="32"/>
      <c r="I95" s="77">
        <v>46111.0</v>
      </c>
      <c r="J95" s="55" t="s">
        <v>60</v>
      </c>
      <c r="K95" s="73" t="s">
        <v>194</v>
      </c>
      <c r="L95" s="56">
        <v>19.9</v>
      </c>
      <c r="M95" s="33"/>
      <c r="N95" s="33"/>
      <c r="O95" s="32"/>
      <c r="P95" s="32"/>
      <c r="Q95" s="31"/>
      <c r="R95" s="83" t="s">
        <v>162</v>
      </c>
    </row>
    <row r="96" ht="15.0" customHeight="1">
      <c r="A96" s="76" t="s">
        <v>195</v>
      </c>
      <c r="B96" s="61" t="s">
        <v>196</v>
      </c>
      <c r="C96" s="48">
        <v>45.0</v>
      </c>
      <c r="D96" s="51" t="s">
        <v>38</v>
      </c>
      <c r="E96" s="77">
        <v>46042.0</v>
      </c>
      <c r="F96" s="77">
        <v>46070.0</v>
      </c>
      <c r="G96" s="32"/>
      <c r="H96" s="32"/>
      <c r="I96" s="31"/>
      <c r="J96" s="55" t="s">
        <v>40</v>
      </c>
      <c r="K96" s="78"/>
      <c r="L96" s="33"/>
      <c r="M96" s="33"/>
      <c r="N96" s="33"/>
      <c r="O96" s="32"/>
      <c r="P96" s="32"/>
      <c r="Q96" s="31"/>
      <c r="R96" s="83" t="s">
        <v>152</v>
      </c>
    </row>
    <row r="97" ht="25.5" customHeight="1">
      <c r="A97" s="76" t="s">
        <v>197</v>
      </c>
      <c r="B97" s="61" t="s">
        <v>198</v>
      </c>
      <c r="C97" s="48">
        <v>300.0</v>
      </c>
      <c r="D97" s="51" t="s">
        <v>38</v>
      </c>
      <c r="E97" s="77">
        <v>46042.0</v>
      </c>
      <c r="F97" s="77">
        <v>46070.0</v>
      </c>
      <c r="G97" s="32"/>
      <c r="H97" s="32"/>
      <c r="I97" s="31"/>
      <c r="J97" s="55" t="s">
        <v>40</v>
      </c>
      <c r="K97" s="78"/>
      <c r="L97" s="33"/>
      <c r="M97" s="33"/>
      <c r="N97" s="33"/>
      <c r="O97" s="32"/>
      <c r="P97" s="32"/>
      <c r="Q97" s="31"/>
      <c r="R97" s="83" t="s">
        <v>152</v>
      </c>
    </row>
    <row r="98" ht="15.0" customHeight="1">
      <c r="A98" s="46"/>
      <c r="B98" s="46"/>
      <c r="C98" s="30"/>
      <c r="D98" s="31"/>
      <c r="E98" s="31"/>
      <c r="F98" s="31"/>
      <c r="G98" s="32"/>
      <c r="H98" s="32"/>
      <c r="I98" s="31"/>
      <c r="J98" s="31"/>
      <c r="K98" s="31"/>
      <c r="L98" s="33"/>
      <c r="M98" s="33"/>
      <c r="N98" s="33"/>
      <c r="O98" s="32"/>
      <c r="P98" s="32"/>
      <c r="Q98" s="31"/>
      <c r="R98" s="83"/>
    </row>
    <row r="99" ht="15.0" customHeight="1">
      <c r="A99" s="40">
        <v>2802200.0</v>
      </c>
      <c r="B99" s="40" t="s">
        <v>199</v>
      </c>
      <c r="C99" s="41">
        <f>SUM(C101:C181)</f>
        <v>6445</v>
      </c>
      <c r="D99" s="42"/>
      <c r="E99" s="42"/>
      <c r="F99" s="42"/>
      <c r="G99" s="43"/>
      <c r="H99" s="43"/>
      <c r="I99" s="42"/>
      <c r="J99" s="42"/>
      <c r="K99" s="42"/>
      <c r="L99" s="44">
        <f>sum(L100:L183)</f>
        <v>4904.930772</v>
      </c>
      <c r="M99" s="44"/>
      <c r="N99" s="44"/>
      <c r="O99" s="43"/>
      <c r="P99" s="43"/>
      <c r="Q99" s="42"/>
      <c r="R99" s="45"/>
    </row>
    <row r="100" ht="15.0" customHeight="1">
      <c r="A100" s="46"/>
      <c r="B100" s="88" t="s">
        <v>65</v>
      </c>
      <c r="C100" s="30"/>
      <c r="D100" s="31"/>
      <c r="E100" s="31"/>
      <c r="F100" s="31"/>
      <c r="G100" s="32"/>
      <c r="H100" s="32"/>
      <c r="I100" s="31"/>
      <c r="J100" s="31"/>
      <c r="K100" s="31"/>
      <c r="L100" s="33"/>
      <c r="M100" s="33"/>
      <c r="N100" s="33"/>
      <c r="O100" s="32"/>
      <c r="P100" s="32"/>
      <c r="Q100" s="31"/>
      <c r="R100" s="34"/>
    </row>
    <row r="101" ht="15.0" customHeight="1">
      <c r="A101" s="89" t="s">
        <v>200</v>
      </c>
      <c r="B101" s="90" t="s">
        <v>201</v>
      </c>
      <c r="C101" s="91">
        <v>445.0</v>
      </c>
      <c r="D101" s="92" t="s">
        <v>38</v>
      </c>
      <c r="E101" s="93"/>
      <c r="F101" s="93"/>
      <c r="G101" s="94"/>
      <c r="H101" s="94"/>
      <c r="I101" s="93"/>
      <c r="J101" s="95" t="s">
        <v>60</v>
      </c>
      <c r="K101" s="93"/>
      <c r="L101" s="96"/>
      <c r="M101" s="96"/>
      <c r="N101" s="96"/>
      <c r="O101" s="94"/>
      <c r="P101" s="94"/>
      <c r="Q101" s="93"/>
      <c r="R101" s="97"/>
      <c r="S101" s="98"/>
      <c r="T101" s="98"/>
      <c r="U101" s="98"/>
      <c r="V101" s="98"/>
      <c r="W101" s="98"/>
      <c r="X101" s="98"/>
      <c r="Y101" s="98"/>
      <c r="Z101" s="98"/>
    </row>
    <row r="102" ht="15.0" customHeight="1">
      <c r="A102" s="99"/>
      <c r="B102" s="100" t="s">
        <v>202</v>
      </c>
      <c r="C102" s="101">
        <v>445.0</v>
      </c>
      <c r="D102" s="102" t="s">
        <v>203</v>
      </c>
      <c r="E102" s="102" t="s">
        <v>204</v>
      </c>
      <c r="F102" s="102" t="s">
        <v>204</v>
      </c>
      <c r="G102" s="103"/>
      <c r="H102" s="103"/>
      <c r="I102" s="104">
        <v>45653.0</v>
      </c>
      <c r="J102" s="105" t="s">
        <v>60</v>
      </c>
      <c r="K102" s="105" t="s">
        <v>205</v>
      </c>
      <c r="L102" s="106">
        <v>3057.376</v>
      </c>
      <c r="M102" s="106">
        <v>912.216</v>
      </c>
      <c r="N102" s="107">
        <v>18.0</v>
      </c>
      <c r="O102" s="108">
        <v>45789.0</v>
      </c>
      <c r="P102" s="109">
        <v>46338.0</v>
      </c>
      <c r="Q102" s="105">
        <v>20.0</v>
      </c>
      <c r="R102" s="89" t="s">
        <v>206</v>
      </c>
      <c r="S102" s="98"/>
      <c r="T102" s="98"/>
      <c r="U102" s="98"/>
      <c r="V102" s="98"/>
      <c r="W102" s="98"/>
      <c r="X102" s="98"/>
      <c r="Y102" s="98"/>
      <c r="Z102" s="98"/>
    </row>
    <row r="103" ht="15.0" customHeight="1">
      <c r="A103" s="99"/>
      <c r="B103" s="100" t="s">
        <v>207</v>
      </c>
      <c r="C103" s="110"/>
      <c r="D103" s="102" t="s">
        <v>203</v>
      </c>
      <c r="E103" s="102" t="s">
        <v>204</v>
      </c>
      <c r="F103" s="102" t="s">
        <v>204</v>
      </c>
      <c r="G103" s="103"/>
      <c r="H103" s="103"/>
      <c r="I103" s="104">
        <v>45649.0</v>
      </c>
      <c r="J103" s="105" t="s">
        <v>60</v>
      </c>
      <c r="K103" s="111" t="s">
        <v>208</v>
      </c>
      <c r="L103" s="106">
        <v>547.5</v>
      </c>
      <c r="M103" s="106">
        <v>73.88</v>
      </c>
      <c r="N103" s="107">
        <v>15.0</v>
      </c>
      <c r="O103" s="109">
        <v>46048.0</v>
      </c>
      <c r="P103" s="112">
        <v>46503.0</v>
      </c>
      <c r="Q103" s="113">
        <v>10.0</v>
      </c>
      <c r="R103" s="89" t="s">
        <v>206</v>
      </c>
      <c r="S103" s="98"/>
      <c r="T103" s="98"/>
      <c r="U103" s="98"/>
      <c r="V103" s="98"/>
      <c r="W103" s="98"/>
      <c r="X103" s="98"/>
      <c r="Y103" s="98"/>
      <c r="Z103" s="98"/>
    </row>
    <row r="104" ht="15.0" customHeight="1">
      <c r="A104" s="29"/>
      <c r="B104" s="114"/>
      <c r="C104" s="48"/>
      <c r="D104" s="31"/>
      <c r="E104" s="31"/>
      <c r="F104" s="31"/>
      <c r="G104" s="32"/>
      <c r="H104" s="32"/>
      <c r="I104" s="31"/>
      <c r="J104" s="31"/>
      <c r="K104" s="31"/>
      <c r="L104" s="33"/>
      <c r="M104" s="33"/>
      <c r="N104" s="33"/>
      <c r="O104" s="32"/>
      <c r="P104" s="32"/>
      <c r="Q104" s="31"/>
      <c r="R104" s="34"/>
    </row>
    <row r="105" ht="15.0" customHeight="1">
      <c r="A105" s="29"/>
      <c r="B105" s="88" t="s">
        <v>209</v>
      </c>
      <c r="C105" s="48"/>
      <c r="D105" s="31"/>
      <c r="E105" s="31"/>
      <c r="F105" s="31"/>
      <c r="G105" s="32"/>
      <c r="H105" s="32"/>
      <c r="I105" s="31"/>
      <c r="J105" s="31"/>
      <c r="K105" s="31"/>
      <c r="L105" s="33"/>
      <c r="M105" s="33"/>
      <c r="N105" s="33"/>
      <c r="O105" s="32"/>
      <c r="P105" s="32"/>
      <c r="Q105" s="31"/>
      <c r="R105" s="34"/>
    </row>
    <row r="106" ht="15.0" customHeight="1">
      <c r="A106" s="115" t="s">
        <v>210</v>
      </c>
      <c r="B106" s="61" t="s">
        <v>211</v>
      </c>
      <c r="C106" s="48">
        <v>200.0</v>
      </c>
      <c r="D106" s="51" t="s">
        <v>38</v>
      </c>
      <c r="E106" s="31"/>
      <c r="F106" s="31"/>
      <c r="G106" s="32"/>
      <c r="H106" s="32"/>
      <c r="I106" s="31"/>
      <c r="J106" s="50" t="s">
        <v>29</v>
      </c>
      <c r="K106" s="31"/>
      <c r="L106" s="33"/>
      <c r="M106" s="33"/>
      <c r="N106" s="33"/>
      <c r="O106" s="32"/>
      <c r="P106" s="32"/>
      <c r="Q106" s="31"/>
      <c r="R106" s="34"/>
    </row>
    <row r="107" ht="15.0" customHeight="1">
      <c r="A107" s="116"/>
      <c r="B107" s="80" t="s">
        <v>212</v>
      </c>
      <c r="C107" s="48"/>
      <c r="D107" s="117" t="s">
        <v>28</v>
      </c>
      <c r="E107" s="87">
        <v>46113.0</v>
      </c>
      <c r="F107" s="87">
        <v>46128.0</v>
      </c>
      <c r="G107" s="32"/>
      <c r="H107" s="32"/>
      <c r="I107" s="31"/>
      <c r="J107" s="55" t="s">
        <v>108</v>
      </c>
      <c r="K107" s="31"/>
      <c r="L107" s="33"/>
      <c r="M107" s="33"/>
      <c r="N107" s="33"/>
      <c r="O107" s="32"/>
      <c r="P107" s="32"/>
      <c r="Q107" s="31"/>
      <c r="R107" s="34"/>
    </row>
    <row r="108" ht="15.0" customHeight="1">
      <c r="A108" s="115"/>
      <c r="B108" s="118" t="s">
        <v>213</v>
      </c>
      <c r="C108" s="48"/>
      <c r="D108" s="49" t="s">
        <v>28</v>
      </c>
      <c r="E108" s="87">
        <v>46113.0</v>
      </c>
      <c r="F108" s="87">
        <v>46128.0</v>
      </c>
      <c r="G108" s="32"/>
      <c r="H108" s="32"/>
      <c r="I108" s="31"/>
      <c r="J108" s="55" t="s">
        <v>108</v>
      </c>
      <c r="K108" s="31"/>
      <c r="L108" s="33"/>
      <c r="M108" s="33"/>
      <c r="N108" s="33"/>
      <c r="O108" s="32"/>
      <c r="P108" s="32"/>
      <c r="Q108" s="31"/>
      <c r="R108" s="34"/>
    </row>
    <row r="109" ht="15.0" customHeight="1">
      <c r="A109" s="115"/>
      <c r="B109" s="80" t="s">
        <v>214</v>
      </c>
      <c r="C109" s="48"/>
      <c r="D109" s="49" t="s">
        <v>28</v>
      </c>
      <c r="E109" s="87">
        <v>46113.0</v>
      </c>
      <c r="F109" s="87">
        <v>46128.0</v>
      </c>
      <c r="G109" s="32"/>
      <c r="H109" s="32"/>
      <c r="I109" s="31"/>
      <c r="J109" s="55"/>
      <c r="K109" s="31"/>
      <c r="L109" s="33"/>
      <c r="M109" s="33"/>
      <c r="N109" s="33"/>
      <c r="O109" s="32"/>
      <c r="P109" s="32"/>
      <c r="Q109" s="31"/>
      <c r="R109" s="34"/>
    </row>
    <row r="110" ht="15.0" customHeight="1">
      <c r="A110" s="115" t="s">
        <v>215</v>
      </c>
      <c r="B110" s="62" t="s">
        <v>216</v>
      </c>
      <c r="C110" s="48">
        <v>1000.0</v>
      </c>
      <c r="D110" s="51" t="s">
        <v>38</v>
      </c>
      <c r="E110" s="31"/>
      <c r="F110" s="31"/>
      <c r="G110" s="32"/>
      <c r="H110" s="32"/>
      <c r="I110" s="31"/>
      <c r="J110" s="50" t="s">
        <v>29</v>
      </c>
      <c r="K110" s="31"/>
      <c r="L110" s="33"/>
      <c r="M110" s="33"/>
      <c r="N110" s="33"/>
      <c r="O110" s="32"/>
      <c r="P110" s="32"/>
      <c r="Q110" s="31"/>
      <c r="R110" s="34"/>
    </row>
    <row r="111" ht="47.25" customHeight="1">
      <c r="A111" s="115"/>
      <c r="B111" s="119" t="s">
        <v>217</v>
      </c>
      <c r="C111" s="48"/>
      <c r="D111" s="49" t="s">
        <v>38</v>
      </c>
      <c r="E111" s="87">
        <v>45936.0</v>
      </c>
      <c r="F111" s="87">
        <v>45967.0</v>
      </c>
      <c r="G111" s="32"/>
      <c r="H111" s="87">
        <v>45981.0</v>
      </c>
      <c r="I111" s="87">
        <v>46111.0</v>
      </c>
      <c r="J111" s="55" t="s">
        <v>60</v>
      </c>
      <c r="K111" s="120" t="s">
        <v>218</v>
      </c>
      <c r="L111" s="56">
        <v>70.20635</v>
      </c>
      <c r="M111" s="56">
        <v>20.051588</v>
      </c>
      <c r="N111" s="65">
        <v>4.0</v>
      </c>
      <c r="O111" s="86">
        <v>46086.0</v>
      </c>
      <c r="P111" s="57">
        <v>46208.0</v>
      </c>
      <c r="Q111" s="53">
        <v>5.0</v>
      </c>
      <c r="R111" s="58" t="s">
        <v>219</v>
      </c>
    </row>
    <row r="112" ht="28.5" customHeight="1">
      <c r="A112" s="115"/>
      <c r="B112" s="80" t="s">
        <v>220</v>
      </c>
      <c r="C112" s="48"/>
      <c r="D112" s="49" t="s">
        <v>38</v>
      </c>
      <c r="E112" s="87">
        <v>45936.0</v>
      </c>
      <c r="F112" s="87">
        <v>45967.0</v>
      </c>
      <c r="G112" s="32"/>
      <c r="H112" s="87">
        <v>45981.0</v>
      </c>
      <c r="I112" s="87">
        <v>46111.0</v>
      </c>
      <c r="J112" s="55" t="s">
        <v>60</v>
      </c>
      <c r="K112" s="121" t="s">
        <v>221</v>
      </c>
      <c r="L112" s="56">
        <v>45.698413</v>
      </c>
      <c r="M112" s="33"/>
      <c r="N112" s="65">
        <v>4.0</v>
      </c>
      <c r="O112" s="86">
        <v>46086.0</v>
      </c>
      <c r="P112" s="57">
        <v>46208.0</v>
      </c>
      <c r="Q112" s="53">
        <v>5.0</v>
      </c>
      <c r="R112" s="58" t="s">
        <v>219</v>
      </c>
    </row>
    <row r="113" ht="36.75" customHeight="1">
      <c r="A113" s="115"/>
      <c r="B113" s="80" t="s">
        <v>222</v>
      </c>
      <c r="C113" s="48"/>
      <c r="D113" s="49" t="s">
        <v>38</v>
      </c>
      <c r="E113" s="87">
        <v>45936.0</v>
      </c>
      <c r="F113" s="87">
        <v>45967.0</v>
      </c>
      <c r="G113" s="32"/>
      <c r="H113" s="87">
        <v>45981.0</v>
      </c>
      <c r="I113" s="87">
        <v>46111.0</v>
      </c>
      <c r="J113" s="55" t="s">
        <v>60</v>
      </c>
      <c r="K113" s="120" t="s">
        <v>223</v>
      </c>
      <c r="L113" s="56">
        <v>125.0802</v>
      </c>
      <c r="M113" s="56">
        <v>31.27005</v>
      </c>
      <c r="N113" s="65">
        <v>4.0</v>
      </c>
      <c r="O113" s="86">
        <v>46086.0</v>
      </c>
      <c r="P113" s="57">
        <v>46208.0</v>
      </c>
      <c r="Q113" s="53">
        <v>5.0</v>
      </c>
      <c r="R113" s="58" t="s">
        <v>219</v>
      </c>
    </row>
    <row r="114" ht="26.25" customHeight="1">
      <c r="A114" s="115"/>
      <c r="B114" s="80" t="s">
        <v>224</v>
      </c>
      <c r="C114" s="48"/>
      <c r="D114" s="49" t="s">
        <v>38</v>
      </c>
      <c r="E114" s="87">
        <v>45936.0</v>
      </c>
      <c r="F114" s="87">
        <v>45967.0</v>
      </c>
      <c r="G114" s="32"/>
      <c r="H114" s="87">
        <v>45981.0</v>
      </c>
      <c r="I114" s="87">
        <v>46111.0</v>
      </c>
      <c r="J114" s="55" t="s">
        <v>60</v>
      </c>
      <c r="K114" s="120" t="s">
        <v>225</v>
      </c>
      <c r="L114" s="56">
        <v>252.036415</v>
      </c>
      <c r="M114" s="56">
        <v>63.009104</v>
      </c>
      <c r="N114" s="65">
        <v>4.0</v>
      </c>
      <c r="O114" s="86">
        <v>46086.0</v>
      </c>
      <c r="P114" s="57">
        <v>46208.0</v>
      </c>
      <c r="Q114" s="53">
        <v>5.0</v>
      </c>
      <c r="R114" s="58" t="s">
        <v>219</v>
      </c>
    </row>
    <row r="115" ht="27.0" customHeight="1">
      <c r="A115" s="115"/>
      <c r="B115" s="80" t="s">
        <v>226</v>
      </c>
      <c r="C115" s="48"/>
      <c r="D115" s="49" t="s">
        <v>38</v>
      </c>
      <c r="E115" s="87">
        <v>45936.0</v>
      </c>
      <c r="F115" s="87">
        <v>45967.0</v>
      </c>
      <c r="G115" s="32"/>
      <c r="H115" s="87">
        <v>45981.0</v>
      </c>
      <c r="I115" s="87">
        <v>46111.0</v>
      </c>
      <c r="J115" s="55" t="s">
        <v>60</v>
      </c>
      <c r="K115" s="122" t="s">
        <v>227</v>
      </c>
      <c r="L115" s="56">
        <v>144.0835</v>
      </c>
      <c r="M115" s="56"/>
      <c r="N115" s="65"/>
      <c r="O115" s="86"/>
      <c r="P115" s="57"/>
      <c r="Q115" s="53"/>
      <c r="R115" s="58" t="s">
        <v>228</v>
      </c>
    </row>
    <row r="116" ht="27.0" customHeight="1">
      <c r="A116" s="115"/>
      <c r="B116" s="80" t="s">
        <v>229</v>
      </c>
      <c r="C116" s="48"/>
      <c r="D116" s="49" t="s">
        <v>38</v>
      </c>
      <c r="E116" s="87">
        <v>45936.0</v>
      </c>
      <c r="F116" s="87">
        <v>45967.0</v>
      </c>
      <c r="G116" s="32"/>
      <c r="H116" s="87">
        <v>45981.0</v>
      </c>
      <c r="I116" s="87">
        <v>46111.0</v>
      </c>
      <c r="J116" s="55" t="s">
        <v>60</v>
      </c>
      <c r="K116" s="122" t="s">
        <v>230</v>
      </c>
      <c r="L116" s="56">
        <v>59.5447</v>
      </c>
      <c r="M116" s="56">
        <v>14.886175</v>
      </c>
      <c r="N116" s="65">
        <v>4.0</v>
      </c>
      <c r="O116" s="86">
        <v>46086.0</v>
      </c>
      <c r="P116" s="57">
        <v>46208.0</v>
      </c>
      <c r="Q116" s="53">
        <v>5.0</v>
      </c>
      <c r="R116" s="58" t="s">
        <v>219</v>
      </c>
    </row>
    <row r="117" ht="24.75" customHeight="1">
      <c r="A117" s="115"/>
      <c r="B117" s="80" t="s">
        <v>231</v>
      </c>
      <c r="C117" s="48"/>
      <c r="D117" s="49" t="s">
        <v>38</v>
      </c>
      <c r="E117" s="87">
        <v>46113.0</v>
      </c>
      <c r="F117" s="87">
        <v>46142.0</v>
      </c>
      <c r="G117" s="32"/>
      <c r="H117" s="32"/>
      <c r="I117" s="31"/>
      <c r="J117" s="55" t="s">
        <v>108</v>
      </c>
      <c r="K117" s="123"/>
      <c r="L117" s="33"/>
      <c r="M117" s="33"/>
      <c r="N117" s="33"/>
      <c r="O117" s="32"/>
      <c r="P117" s="32"/>
      <c r="Q117" s="31"/>
      <c r="R117" s="58" t="s">
        <v>232</v>
      </c>
    </row>
    <row r="118" ht="30.0" customHeight="1">
      <c r="A118" s="115"/>
      <c r="B118" s="80" t="s">
        <v>233</v>
      </c>
      <c r="C118" s="48"/>
      <c r="D118" s="49" t="s">
        <v>38</v>
      </c>
      <c r="E118" s="87">
        <v>46113.0</v>
      </c>
      <c r="F118" s="87">
        <v>46142.0</v>
      </c>
      <c r="G118" s="32"/>
      <c r="H118" s="32"/>
      <c r="I118" s="31"/>
      <c r="J118" s="55" t="s">
        <v>108</v>
      </c>
      <c r="K118" s="123"/>
      <c r="L118" s="33"/>
      <c r="M118" s="33"/>
      <c r="N118" s="33"/>
      <c r="O118" s="32"/>
      <c r="P118" s="32"/>
      <c r="Q118" s="31"/>
      <c r="R118" s="58" t="s">
        <v>232</v>
      </c>
    </row>
    <row r="119" ht="15.0" customHeight="1">
      <c r="A119" s="115" t="s">
        <v>234</v>
      </c>
      <c r="B119" s="61" t="s">
        <v>235</v>
      </c>
      <c r="C119" s="48">
        <v>200.0</v>
      </c>
      <c r="D119" s="51" t="s">
        <v>38</v>
      </c>
      <c r="E119" s="31"/>
      <c r="F119" s="31"/>
      <c r="G119" s="32"/>
      <c r="H119" s="32"/>
      <c r="I119" s="31"/>
      <c r="J119" s="50" t="s">
        <v>29</v>
      </c>
      <c r="K119" s="31"/>
      <c r="L119" s="33"/>
      <c r="M119" s="33"/>
      <c r="N119" s="33"/>
      <c r="O119" s="32"/>
      <c r="P119" s="32"/>
      <c r="Q119" s="31"/>
      <c r="R119" s="34"/>
    </row>
    <row r="120" ht="15.0" customHeight="1">
      <c r="A120" s="115" t="s">
        <v>236</v>
      </c>
      <c r="B120" s="61" t="s">
        <v>237</v>
      </c>
      <c r="C120" s="48">
        <v>75.0</v>
      </c>
      <c r="D120" s="51" t="s">
        <v>38</v>
      </c>
      <c r="E120" s="31"/>
      <c r="F120" s="31"/>
      <c r="G120" s="32"/>
      <c r="H120" s="32"/>
      <c r="I120" s="31"/>
      <c r="J120" s="50" t="s">
        <v>29</v>
      </c>
      <c r="K120" s="31"/>
      <c r="L120" s="33"/>
      <c r="M120" s="33"/>
      <c r="N120" s="33"/>
      <c r="O120" s="32"/>
      <c r="P120" s="32"/>
      <c r="Q120" s="31"/>
      <c r="R120" s="34"/>
    </row>
    <row r="121" ht="15.0" customHeight="1">
      <c r="A121" s="115" t="s">
        <v>238</v>
      </c>
      <c r="B121" s="61" t="s">
        <v>239</v>
      </c>
      <c r="C121" s="48">
        <v>250.0</v>
      </c>
      <c r="D121" s="51" t="s">
        <v>38</v>
      </c>
      <c r="E121" s="31"/>
      <c r="F121" s="31"/>
      <c r="G121" s="32"/>
      <c r="H121" s="32"/>
      <c r="I121" s="31"/>
      <c r="J121" s="50" t="s">
        <v>29</v>
      </c>
      <c r="K121" s="31"/>
      <c r="L121" s="33"/>
      <c r="M121" s="33"/>
      <c r="N121" s="33"/>
      <c r="O121" s="32"/>
      <c r="P121" s="32"/>
      <c r="Q121" s="31"/>
      <c r="R121" s="34"/>
    </row>
    <row r="122" ht="15.0" customHeight="1">
      <c r="A122" s="115" t="s">
        <v>240</v>
      </c>
      <c r="B122" s="61" t="s">
        <v>241</v>
      </c>
      <c r="C122" s="48">
        <v>250.0</v>
      </c>
      <c r="D122" s="51" t="s">
        <v>38</v>
      </c>
      <c r="E122" s="31"/>
      <c r="F122" s="31"/>
      <c r="G122" s="32"/>
      <c r="H122" s="32"/>
      <c r="I122" s="31"/>
      <c r="J122" s="50" t="s">
        <v>29</v>
      </c>
      <c r="K122" s="31"/>
      <c r="L122" s="33"/>
      <c r="M122" s="33"/>
      <c r="N122" s="33"/>
      <c r="O122" s="32"/>
      <c r="P122" s="32"/>
      <c r="Q122" s="31"/>
      <c r="R122" s="34"/>
    </row>
    <row r="123" ht="25.5" customHeight="1">
      <c r="A123" s="116" t="s">
        <v>242</v>
      </c>
      <c r="B123" s="61" t="s">
        <v>243</v>
      </c>
      <c r="C123" s="48">
        <v>700.0</v>
      </c>
      <c r="D123" s="51" t="s">
        <v>38</v>
      </c>
      <c r="E123" s="31"/>
      <c r="F123" s="31"/>
      <c r="G123" s="32"/>
      <c r="H123" s="32"/>
      <c r="I123" s="31"/>
      <c r="J123" s="50" t="s">
        <v>29</v>
      </c>
      <c r="K123" s="31"/>
      <c r="L123" s="33"/>
      <c r="M123" s="33"/>
      <c r="N123" s="33"/>
      <c r="O123" s="32"/>
      <c r="P123" s="32"/>
      <c r="Q123" s="31"/>
      <c r="R123" s="34"/>
    </row>
    <row r="124" ht="15.0" customHeight="1">
      <c r="A124" s="116" t="s">
        <v>244</v>
      </c>
      <c r="B124" s="124" t="s">
        <v>245</v>
      </c>
      <c r="C124" s="48">
        <v>100.0</v>
      </c>
      <c r="D124" s="49" t="s">
        <v>67</v>
      </c>
      <c r="E124" s="31"/>
      <c r="F124" s="31"/>
      <c r="G124" s="32"/>
      <c r="H124" s="32"/>
      <c r="I124" s="31"/>
      <c r="K124" s="31"/>
      <c r="L124" s="33"/>
      <c r="M124" s="33"/>
      <c r="N124" s="33"/>
      <c r="O124" s="32"/>
      <c r="P124" s="32"/>
      <c r="Q124" s="31"/>
      <c r="R124" s="34"/>
    </row>
    <row r="125" ht="15.0" customHeight="1">
      <c r="A125" s="125" t="s">
        <v>246</v>
      </c>
      <c r="B125" s="61"/>
      <c r="C125" s="48"/>
      <c r="D125" s="49" t="s">
        <v>67</v>
      </c>
      <c r="E125" s="126">
        <v>46071.0</v>
      </c>
      <c r="F125" s="126">
        <v>46085.0</v>
      </c>
      <c r="G125" s="32"/>
      <c r="H125" s="32"/>
      <c r="I125" s="31"/>
      <c r="J125" s="127" t="s">
        <v>60</v>
      </c>
      <c r="K125" s="128" t="s">
        <v>247</v>
      </c>
      <c r="L125" s="56">
        <v>5.0</v>
      </c>
      <c r="M125" s="33"/>
      <c r="N125" s="33"/>
      <c r="O125" s="129"/>
      <c r="P125" s="129"/>
      <c r="Q125" s="31"/>
      <c r="R125" s="34"/>
    </row>
    <row r="126" ht="15.0" customHeight="1">
      <c r="A126" s="125" t="s">
        <v>248</v>
      </c>
      <c r="B126" s="61"/>
      <c r="C126" s="48"/>
      <c r="D126" s="49" t="s">
        <v>67</v>
      </c>
      <c r="E126" s="126">
        <v>46071.0</v>
      </c>
      <c r="F126" s="126">
        <v>46085.0</v>
      </c>
      <c r="G126" s="32"/>
      <c r="H126" s="32"/>
      <c r="I126" s="31"/>
      <c r="J126" s="127" t="s">
        <v>60</v>
      </c>
      <c r="K126" s="128" t="s">
        <v>249</v>
      </c>
      <c r="L126" s="56">
        <v>5.0</v>
      </c>
      <c r="M126" s="33"/>
      <c r="N126" s="33"/>
      <c r="O126" s="129"/>
      <c r="P126" s="129"/>
      <c r="Q126" s="31"/>
      <c r="R126" s="34"/>
    </row>
    <row r="127" ht="15.0" customHeight="1">
      <c r="A127" s="125" t="s">
        <v>250</v>
      </c>
      <c r="B127" s="61"/>
      <c r="C127" s="48"/>
      <c r="D127" s="49" t="s">
        <v>67</v>
      </c>
      <c r="E127" s="126">
        <v>46023.0</v>
      </c>
      <c r="F127" s="126">
        <v>46051.0</v>
      </c>
      <c r="G127" s="32"/>
      <c r="H127" s="32"/>
      <c r="I127" s="31"/>
      <c r="J127" s="127" t="s">
        <v>60</v>
      </c>
      <c r="K127" s="130" t="s">
        <v>251</v>
      </c>
      <c r="L127" s="56">
        <v>5.0</v>
      </c>
      <c r="M127" s="33"/>
      <c r="N127" s="33"/>
      <c r="O127" s="126">
        <v>46044.0</v>
      </c>
      <c r="P127" s="126">
        <v>46134.0</v>
      </c>
      <c r="Q127" s="31"/>
      <c r="R127" s="34"/>
    </row>
    <row r="128" ht="15.0" customHeight="1">
      <c r="A128" s="125" t="s">
        <v>252</v>
      </c>
      <c r="B128" s="61"/>
      <c r="C128" s="48"/>
      <c r="D128" s="49" t="s">
        <v>67</v>
      </c>
      <c r="E128" s="126">
        <v>46084.0</v>
      </c>
      <c r="F128" s="126">
        <v>46091.0</v>
      </c>
      <c r="G128" s="32"/>
      <c r="H128" s="32"/>
      <c r="I128" s="31"/>
      <c r="J128" s="127" t="s">
        <v>60</v>
      </c>
      <c r="K128" s="130" t="s">
        <v>251</v>
      </c>
      <c r="L128" s="56">
        <v>5.0</v>
      </c>
      <c r="M128" s="33"/>
      <c r="N128" s="33"/>
      <c r="O128" s="126">
        <v>46098.0</v>
      </c>
      <c r="P128" s="126">
        <v>46220.0</v>
      </c>
      <c r="Q128" s="31"/>
      <c r="R128" s="34"/>
    </row>
    <row r="129" ht="15.0" customHeight="1">
      <c r="A129" s="131"/>
      <c r="B129" s="61"/>
      <c r="C129" s="48"/>
      <c r="D129" s="49" t="s">
        <v>67</v>
      </c>
      <c r="E129" s="126">
        <v>46084.0</v>
      </c>
      <c r="F129" s="126">
        <v>46091.0</v>
      </c>
      <c r="G129" s="32"/>
      <c r="H129" s="32"/>
      <c r="I129" s="31"/>
      <c r="J129" s="127" t="s">
        <v>60</v>
      </c>
      <c r="K129" s="128" t="s">
        <v>253</v>
      </c>
      <c r="L129" s="56">
        <v>5.0</v>
      </c>
      <c r="M129" s="33"/>
      <c r="N129" s="33"/>
      <c r="O129" s="129"/>
      <c r="P129" s="129"/>
      <c r="Q129" s="31"/>
      <c r="R129" s="34"/>
    </row>
    <row r="130" ht="15.0" customHeight="1">
      <c r="A130" s="125" t="s">
        <v>254</v>
      </c>
      <c r="B130" s="61"/>
      <c r="C130" s="48"/>
      <c r="D130" s="49" t="s">
        <v>67</v>
      </c>
      <c r="E130" s="126">
        <v>46071.0</v>
      </c>
      <c r="F130" s="126">
        <v>46085.0</v>
      </c>
      <c r="G130" s="32"/>
      <c r="H130" s="32"/>
      <c r="I130" s="31"/>
      <c r="J130" s="127" t="s">
        <v>60</v>
      </c>
      <c r="K130" s="130" t="s">
        <v>255</v>
      </c>
      <c r="L130" s="56">
        <v>5.0</v>
      </c>
      <c r="M130" s="33"/>
      <c r="N130" s="33"/>
      <c r="O130" s="126">
        <v>46098.0</v>
      </c>
      <c r="P130" s="126">
        <v>46220.0</v>
      </c>
      <c r="Q130" s="31"/>
      <c r="R130" s="34"/>
    </row>
    <row r="131" ht="15.0" customHeight="1">
      <c r="A131" s="125" t="s">
        <v>256</v>
      </c>
      <c r="B131" s="61"/>
      <c r="C131" s="48"/>
      <c r="D131" s="49" t="s">
        <v>67</v>
      </c>
      <c r="E131" s="126">
        <v>46071.0</v>
      </c>
      <c r="F131" s="126">
        <v>46085.0</v>
      </c>
      <c r="G131" s="32"/>
      <c r="H131" s="32"/>
      <c r="I131" s="31"/>
      <c r="J131" s="127" t="s">
        <v>60</v>
      </c>
      <c r="K131" s="132" t="s">
        <v>257</v>
      </c>
      <c r="L131" s="56">
        <v>5.0</v>
      </c>
      <c r="M131" s="33"/>
      <c r="N131" s="33"/>
      <c r="O131" s="126">
        <v>46098.0</v>
      </c>
      <c r="P131" s="126">
        <v>46220.0</v>
      </c>
      <c r="Q131" s="31"/>
      <c r="R131" s="34"/>
    </row>
    <row r="132" ht="15.0" customHeight="1">
      <c r="A132" s="125" t="s">
        <v>258</v>
      </c>
      <c r="B132" s="61"/>
      <c r="C132" s="48"/>
      <c r="D132" s="49" t="s">
        <v>67</v>
      </c>
      <c r="E132" s="126">
        <v>46083.0</v>
      </c>
      <c r="F132" s="126">
        <v>46093.0</v>
      </c>
      <c r="G132" s="32"/>
      <c r="H132" s="32"/>
      <c r="I132" s="31"/>
      <c r="J132" s="127" t="s">
        <v>60</v>
      </c>
      <c r="K132" s="132" t="s">
        <v>259</v>
      </c>
      <c r="L132" s="56">
        <v>5.0</v>
      </c>
      <c r="M132" s="33"/>
      <c r="N132" s="33"/>
      <c r="O132" s="126">
        <v>46098.0</v>
      </c>
      <c r="P132" s="126">
        <v>46220.0</v>
      </c>
      <c r="Q132" s="31"/>
      <c r="R132" s="34"/>
    </row>
    <row r="133" ht="15.0" customHeight="1">
      <c r="A133" s="125" t="s">
        <v>260</v>
      </c>
      <c r="B133" s="61"/>
      <c r="C133" s="48"/>
      <c r="D133" s="49" t="s">
        <v>67</v>
      </c>
      <c r="E133" s="126">
        <v>46083.0</v>
      </c>
      <c r="F133" s="126">
        <v>46093.0</v>
      </c>
      <c r="G133" s="32"/>
      <c r="H133" s="32"/>
      <c r="I133" s="31"/>
      <c r="J133" s="55" t="s">
        <v>60</v>
      </c>
      <c r="K133" s="133" t="s">
        <v>261</v>
      </c>
      <c r="L133" s="56">
        <v>5.0</v>
      </c>
      <c r="M133" s="33"/>
      <c r="N133" s="33"/>
      <c r="O133" s="129"/>
      <c r="P133" s="129"/>
      <c r="Q133" s="31"/>
      <c r="R133" s="34"/>
    </row>
    <row r="134" ht="15.0" customHeight="1">
      <c r="A134" s="134" t="s">
        <v>262</v>
      </c>
      <c r="B134" s="61"/>
      <c r="C134" s="48"/>
      <c r="D134" s="49" t="s">
        <v>67</v>
      </c>
      <c r="E134" s="126">
        <v>46071.0</v>
      </c>
      <c r="F134" s="126">
        <v>46085.0</v>
      </c>
      <c r="G134" s="32"/>
      <c r="H134" s="32"/>
      <c r="I134" s="31"/>
      <c r="J134" s="55" t="s">
        <v>60</v>
      </c>
      <c r="K134" s="130" t="s">
        <v>263</v>
      </c>
      <c r="L134" s="56">
        <v>5.0</v>
      </c>
      <c r="M134" s="33"/>
      <c r="N134" s="33"/>
      <c r="O134" s="126">
        <v>46056.0</v>
      </c>
      <c r="P134" s="135">
        <v>46145.0</v>
      </c>
      <c r="Q134" s="31"/>
      <c r="R134" s="34"/>
    </row>
    <row r="135" ht="15.0" customHeight="1">
      <c r="A135" s="125" t="s">
        <v>264</v>
      </c>
      <c r="B135" s="61"/>
      <c r="C135" s="48"/>
      <c r="D135" s="49" t="s">
        <v>67</v>
      </c>
      <c r="E135" s="126">
        <v>46071.0</v>
      </c>
      <c r="F135" s="126">
        <v>46085.0</v>
      </c>
      <c r="G135" s="32"/>
      <c r="H135" s="32"/>
      <c r="I135" s="31"/>
      <c r="J135" s="55" t="s">
        <v>60</v>
      </c>
      <c r="K135" s="132" t="s">
        <v>265</v>
      </c>
      <c r="L135" s="56">
        <v>5.0</v>
      </c>
      <c r="M135" s="33"/>
      <c r="N135" s="33"/>
      <c r="O135" s="126">
        <v>46056.0</v>
      </c>
      <c r="P135" s="135">
        <v>46145.0</v>
      </c>
      <c r="Q135" s="31"/>
      <c r="R135" s="34"/>
    </row>
    <row r="136" ht="15.0" customHeight="1">
      <c r="A136" s="134" t="s">
        <v>266</v>
      </c>
      <c r="B136" s="61"/>
      <c r="C136" s="48"/>
      <c r="D136" s="49" t="s">
        <v>67</v>
      </c>
      <c r="E136" s="126">
        <v>46071.0</v>
      </c>
      <c r="F136" s="126">
        <v>46085.0</v>
      </c>
      <c r="G136" s="32"/>
      <c r="H136" s="32"/>
      <c r="I136" s="31"/>
      <c r="J136" s="55" t="s">
        <v>60</v>
      </c>
      <c r="K136" s="130" t="s">
        <v>255</v>
      </c>
      <c r="L136" s="56">
        <v>5.0</v>
      </c>
      <c r="M136" s="33"/>
      <c r="N136" s="33"/>
      <c r="O136" s="126">
        <v>46056.0</v>
      </c>
      <c r="P136" s="135">
        <v>46145.0</v>
      </c>
      <c r="Q136" s="31"/>
      <c r="R136" s="34"/>
    </row>
    <row r="137" ht="15.0" customHeight="1">
      <c r="A137" s="134" t="s">
        <v>267</v>
      </c>
      <c r="B137" s="61"/>
      <c r="C137" s="48"/>
      <c r="D137" s="49" t="s">
        <v>67</v>
      </c>
      <c r="E137" s="126">
        <v>46071.0</v>
      </c>
      <c r="F137" s="126">
        <v>46085.0</v>
      </c>
      <c r="G137" s="32"/>
      <c r="H137" s="32"/>
      <c r="I137" s="31"/>
      <c r="J137" s="55" t="s">
        <v>60</v>
      </c>
      <c r="K137" s="130" t="s">
        <v>268</v>
      </c>
      <c r="L137" s="56">
        <v>5.0</v>
      </c>
      <c r="M137" s="33"/>
      <c r="N137" s="33"/>
      <c r="O137" s="126">
        <v>46056.0</v>
      </c>
      <c r="P137" s="135">
        <v>46145.0</v>
      </c>
      <c r="Q137" s="31"/>
      <c r="R137" s="34"/>
    </row>
    <row r="138" ht="15.0" customHeight="1">
      <c r="A138" s="134" t="s">
        <v>269</v>
      </c>
      <c r="B138" s="61"/>
      <c r="C138" s="48"/>
      <c r="D138" s="49" t="s">
        <v>67</v>
      </c>
      <c r="E138" s="126">
        <v>46071.0</v>
      </c>
      <c r="F138" s="126">
        <v>46085.0</v>
      </c>
      <c r="G138" s="32"/>
      <c r="H138" s="32"/>
      <c r="I138" s="31"/>
      <c r="J138" s="55" t="s">
        <v>60</v>
      </c>
      <c r="K138" s="130" t="s">
        <v>270</v>
      </c>
      <c r="L138" s="56">
        <v>5.0</v>
      </c>
      <c r="M138" s="33"/>
      <c r="N138" s="33"/>
      <c r="O138" s="126">
        <v>46098.0</v>
      </c>
      <c r="P138" s="126">
        <v>46220.0</v>
      </c>
      <c r="Q138" s="31"/>
      <c r="R138" s="34"/>
    </row>
    <row r="139" ht="15.0" customHeight="1">
      <c r="A139" s="134" t="s">
        <v>271</v>
      </c>
      <c r="B139" s="61"/>
      <c r="C139" s="48"/>
      <c r="D139" s="49" t="s">
        <v>67</v>
      </c>
      <c r="E139" s="126">
        <v>46071.0</v>
      </c>
      <c r="F139" s="126">
        <v>46085.0</v>
      </c>
      <c r="G139" s="32"/>
      <c r="H139" s="32"/>
      <c r="I139" s="31"/>
      <c r="J139" s="55" t="s">
        <v>60</v>
      </c>
      <c r="K139" s="130" t="s">
        <v>272</v>
      </c>
      <c r="L139" s="56">
        <v>5.0</v>
      </c>
      <c r="M139" s="33"/>
      <c r="N139" s="33"/>
      <c r="O139" s="126">
        <v>46098.0</v>
      </c>
      <c r="P139" s="126">
        <v>46220.0</v>
      </c>
      <c r="Q139" s="31"/>
      <c r="R139" s="34"/>
    </row>
    <row r="140" ht="15.0" customHeight="1">
      <c r="A140" s="134" t="s">
        <v>273</v>
      </c>
      <c r="B140" s="61"/>
      <c r="C140" s="48"/>
      <c r="D140" s="49" t="s">
        <v>67</v>
      </c>
      <c r="E140" s="126">
        <v>46071.0</v>
      </c>
      <c r="F140" s="126">
        <v>46085.0</v>
      </c>
      <c r="G140" s="32"/>
      <c r="H140" s="32"/>
      <c r="I140" s="31"/>
      <c r="J140" s="55" t="s">
        <v>60</v>
      </c>
      <c r="K140" s="130" t="s">
        <v>274</v>
      </c>
      <c r="L140" s="56">
        <v>5.0</v>
      </c>
      <c r="M140" s="33"/>
      <c r="N140" s="33"/>
      <c r="O140" s="126">
        <v>46098.0</v>
      </c>
      <c r="P140" s="126">
        <v>46220.0</v>
      </c>
      <c r="Q140" s="31"/>
      <c r="R140" s="34"/>
    </row>
    <row r="141" ht="15.0" customHeight="1">
      <c r="A141" s="125" t="s">
        <v>275</v>
      </c>
      <c r="B141" s="61"/>
      <c r="C141" s="48"/>
      <c r="D141" s="49" t="s">
        <v>67</v>
      </c>
      <c r="E141" s="126">
        <v>46071.0</v>
      </c>
      <c r="F141" s="126">
        <v>46085.0</v>
      </c>
      <c r="G141" s="32"/>
      <c r="H141" s="32"/>
      <c r="I141" s="31"/>
      <c r="J141" s="55" t="s">
        <v>60</v>
      </c>
      <c r="K141" s="130" t="s">
        <v>276</v>
      </c>
      <c r="L141" s="33"/>
      <c r="M141" s="33"/>
      <c r="N141" s="33"/>
      <c r="O141" s="126">
        <v>46056.0</v>
      </c>
      <c r="P141" s="135">
        <v>46145.0</v>
      </c>
      <c r="Q141" s="31"/>
      <c r="R141" s="34"/>
    </row>
    <row r="142" ht="15.0" customHeight="1">
      <c r="A142" s="116"/>
      <c r="B142" s="61"/>
      <c r="C142" s="48"/>
      <c r="D142" s="51"/>
      <c r="E142" s="31"/>
      <c r="F142" s="31"/>
      <c r="G142" s="32"/>
      <c r="H142" s="32"/>
      <c r="I142" s="31"/>
      <c r="J142" s="50"/>
      <c r="K142" s="78"/>
      <c r="L142" s="33"/>
      <c r="M142" s="33"/>
      <c r="N142" s="33"/>
      <c r="O142" s="136"/>
      <c r="P142" s="32"/>
      <c r="Q142" s="31"/>
      <c r="R142" s="34"/>
    </row>
    <row r="143" ht="15.0" customHeight="1">
      <c r="A143" s="116" t="s">
        <v>277</v>
      </c>
      <c r="B143" s="61" t="s">
        <v>278</v>
      </c>
      <c r="C143" s="48">
        <v>100.0</v>
      </c>
      <c r="D143" s="51" t="s">
        <v>38</v>
      </c>
      <c r="E143" s="31"/>
      <c r="F143" s="31"/>
      <c r="G143" s="32"/>
      <c r="H143" s="32"/>
      <c r="I143" s="31"/>
      <c r="J143" s="50" t="s">
        <v>29</v>
      </c>
      <c r="K143" s="78"/>
      <c r="L143" s="33"/>
      <c r="M143" s="33"/>
      <c r="N143" s="33"/>
      <c r="O143" s="32"/>
      <c r="P143" s="32"/>
      <c r="Q143" s="31"/>
      <c r="R143" s="34"/>
    </row>
    <row r="144" ht="15.0" customHeight="1">
      <c r="A144" s="116"/>
      <c r="B144" s="119" t="s">
        <v>279</v>
      </c>
      <c r="C144" s="48"/>
      <c r="D144" s="49" t="s">
        <v>67</v>
      </c>
      <c r="E144" s="77">
        <v>45978.0</v>
      </c>
      <c r="F144" s="77">
        <v>45982.0</v>
      </c>
      <c r="G144" s="77">
        <v>45985.0</v>
      </c>
      <c r="H144" s="32"/>
      <c r="I144" s="77">
        <v>45985.0</v>
      </c>
      <c r="J144" s="55" t="s">
        <v>60</v>
      </c>
      <c r="K144" s="73" t="s">
        <v>280</v>
      </c>
      <c r="L144" s="56">
        <v>14.617203</v>
      </c>
      <c r="M144" s="33"/>
      <c r="N144" s="33"/>
      <c r="O144" s="77">
        <v>46097.0</v>
      </c>
      <c r="P144" s="77">
        <v>46182.0</v>
      </c>
      <c r="Q144" s="31"/>
      <c r="R144" s="137" t="s">
        <v>281</v>
      </c>
    </row>
    <row r="145" ht="15.0" customHeight="1">
      <c r="A145" s="116" t="s">
        <v>282</v>
      </c>
      <c r="B145" s="61" t="s">
        <v>283</v>
      </c>
      <c r="C145" s="48">
        <v>50.0</v>
      </c>
      <c r="D145" s="51" t="s">
        <v>38</v>
      </c>
      <c r="E145" s="31"/>
      <c r="F145" s="31"/>
      <c r="G145" s="32"/>
      <c r="H145" s="32"/>
      <c r="I145" s="31"/>
      <c r="J145" s="50" t="s">
        <v>29</v>
      </c>
      <c r="K145" s="31"/>
      <c r="L145" s="33"/>
      <c r="M145" s="33"/>
      <c r="N145" s="33"/>
      <c r="O145" s="32"/>
      <c r="P145" s="32"/>
      <c r="Q145" s="31"/>
      <c r="R145" s="34"/>
    </row>
    <row r="146" ht="15.0" customHeight="1">
      <c r="A146" s="116"/>
      <c r="B146" s="119" t="s">
        <v>284</v>
      </c>
      <c r="C146" s="48"/>
      <c r="D146" s="49" t="s">
        <v>67</v>
      </c>
      <c r="E146" s="77">
        <v>46069.0</v>
      </c>
      <c r="F146" s="77">
        <v>46076.0</v>
      </c>
      <c r="G146" s="77">
        <v>46083.0</v>
      </c>
      <c r="H146" s="32"/>
      <c r="I146" s="77">
        <v>46083.0</v>
      </c>
      <c r="J146" s="55" t="s">
        <v>60</v>
      </c>
      <c r="K146" s="73" t="s">
        <v>285</v>
      </c>
      <c r="L146" s="56">
        <v>18.48</v>
      </c>
      <c r="M146" s="33"/>
      <c r="N146" s="33"/>
      <c r="O146" s="77">
        <v>46090.0</v>
      </c>
      <c r="P146" s="77">
        <v>46202.0</v>
      </c>
      <c r="Q146" s="138">
        <v>0.3</v>
      </c>
      <c r="R146" s="82" t="s">
        <v>286</v>
      </c>
    </row>
    <row r="147" ht="15.0" customHeight="1">
      <c r="A147" s="116" t="s">
        <v>287</v>
      </c>
      <c r="B147" s="61" t="s">
        <v>288</v>
      </c>
      <c r="C147" s="48">
        <v>100.0</v>
      </c>
      <c r="D147" s="51" t="s">
        <v>38</v>
      </c>
      <c r="E147" s="31"/>
      <c r="F147" s="31"/>
      <c r="G147" s="32"/>
      <c r="H147" s="32"/>
      <c r="I147" s="31"/>
      <c r="J147" s="50" t="s">
        <v>29</v>
      </c>
      <c r="K147" s="31"/>
      <c r="L147" s="33"/>
      <c r="M147" s="33"/>
      <c r="N147" s="33"/>
      <c r="O147" s="32"/>
      <c r="P147" s="32"/>
      <c r="Q147" s="31"/>
      <c r="R147" s="34"/>
    </row>
    <row r="148" ht="15.0" customHeight="1">
      <c r="A148" s="116" t="s">
        <v>289</v>
      </c>
      <c r="B148" s="61" t="s">
        <v>290</v>
      </c>
      <c r="C148" s="48">
        <v>100.0</v>
      </c>
      <c r="D148" s="51" t="s">
        <v>38</v>
      </c>
      <c r="E148" s="31"/>
      <c r="F148" s="31"/>
      <c r="G148" s="32"/>
      <c r="H148" s="32"/>
      <c r="I148" s="31"/>
      <c r="J148" s="50" t="s">
        <v>29</v>
      </c>
      <c r="K148" s="31"/>
      <c r="L148" s="33"/>
      <c r="M148" s="33"/>
      <c r="N148" s="33"/>
      <c r="O148" s="32"/>
      <c r="P148" s="32"/>
      <c r="Q148" s="31"/>
      <c r="R148" s="34"/>
    </row>
    <row r="149" ht="15.0" customHeight="1">
      <c r="A149" s="116"/>
      <c r="B149" s="119" t="s">
        <v>291</v>
      </c>
      <c r="C149" s="139"/>
      <c r="D149" s="49" t="s">
        <v>67</v>
      </c>
      <c r="E149" s="77">
        <v>45973.0</v>
      </c>
      <c r="F149" s="77">
        <v>45979.0</v>
      </c>
      <c r="G149" s="77">
        <v>45985.0</v>
      </c>
      <c r="H149" s="32"/>
      <c r="I149" s="77">
        <v>45985.0</v>
      </c>
      <c r="J149" s="55" t="s">
        <v>60</v>
      </c>
      <c r="K149" s="73" t="s">
        <v>292</v>
      </c>
      <c r="L149" s="56">
        <v>19.29973</v>
      </c>
      <c r="M149" s="33"/>
      <c r="N149" s="33"/>
      <c r="O149" s="77">
        <v>46097.0</v>
      </c>
      <c r="P149" s="77">
        <v>46182.0</v>
      </c>
      <c r="Q149" s="31"/>
      <c r="R149" s="137" t="s">
        <v>281</v>
      </c>
    </row>
    <row r="150" ht="15.0" customHeight="1">
      <c r="A150" s="116" t="s">
        <v>293</v>
      </c>
      <c r="B150" s="62" t="s">
        <v>294</v>
      </c>
      <c r="C150" s="139">
        <v>320.0</v>
      </c>
      <c r="D150" s="51" t="s">
        <v>38</v>
      </c>
      <c r="E150" s="77"/>
      <c r="F150" s="77"/>
      <c r="G150" s="32"/>
      <c r="H150" s="32"/>
      <c r="I150" s="31"/>
      <c r="J150" s="55" t="s">
        <v>29</v>
      </c>
      <c r="K150" s="31"/>
      <c r="L150" s="33"/>
      <c r="M150" s="33"/>
      <c r="N150" s="33"/>
      <c r="O150" s="32"/>
      <c r="P150" s="32"/>
      <c r="Q150" s="31"/>
      <c r="R150" s="137"/>
    </row>
    <row r="151" ht="15.0" customHeight="1">
      <c r="A151" s="116" t="s">
        <v>295</v>
      </c>
      <c r="B151" s="119" t="s">
        <v>296</v>
      </c>
      <c r="C151" s="48"/>
      <c r="D151" s="49" t="s">
        <v>67</v>
      </c>
      <c r="E151" s="77"/>
      <c r="F151" s="77"/>
      <c r="G151" s="32"/>
      <c r="H151" s="32"/>
      <c r="I151" s="31"/>
      <c r="J151" s="55" t="s">
        <v>60</v>
      </c>
      <c r="K151" s="73" t="s">
        <v>297</v>
      </c>
      <c r="L151" s="56">
        <v>150.845908</v>
      </c>
      <c r="M151" s="33"/>
      <c r="N151" s="33"/>
      <c r="O151" s="77">
        <v>46113.0</v>
      </c>
      <c r="P151" s="77">
        <v>46234.0</v>
      </c>
      <c r="Q151" s="31"/>
      <c r="R151" s="137" t="s">
        <v>298</v>
      </c>
    </row>
    <row r="152" ht="15.0" customHeight="1">
      <c r="A152" s="116" t="s">
        <v>299</v>
      </c>
      <c r="B152" s="119" t="s">
        <v>300</v>
      </c>
      <c r="C152" s="48"/>
      <c r="D152" s="49" t="s">
        <v>67</v>
      </c>
      <c r="E152" s="77"/>
      <c r="F152" s="77"/>
      <c r="G152" s="32"/>
      <c r="H152" s="32"/>
      <c r="I152" s="31"/>
      <c r="J152" s="55" t="s">
        <v>60</v>
      </c>
      <c r="K152" s="73" t="s">
        <v>301</v>
      </c>
      <c r="L152" s="56">
        <v>134.144661</v>
      </c>
      <c r="M152" s="56"/>
      <c r="N152" s="33"/>
      <c r="O152" s="140">
        <v>46113.0</v>
      </c>
      <c r="P152" s="140">
        <v>46234.0</v>
      </c>
      <c r="Q152" s="140"/>
      <c r="R152" s="137" t="s">
        <v>298</v>
      </c>
    </row>
    <row r="153" ht="15.0" customHeight="1">
      <c r="A153" s="116" t="s">
        <v>302</v>
      </c>
      <c r="B153" s="119" t="s">
        <v>303</v>
      </c>
      <c r="C153" s="48"/>
      <c r="D153" s="49" t="s">
        <v>28</v>
      </c>
      <c r="E153" s="77">
        <v>46081.0</v>
      </c>
      <c r="F153" s="77">
        <v>46087.0</v>
      </c>
      <c r="G153" s="32"/>
      <c r="H153" s="32"/>
      <c r="I153" s="31"/>
      <c r="J153" s="55" t="s">
        <v>60</v>
      </c>
      <c r="K153" s="73" t="s">
        <v>304</v>
      </c>
      <c r="L153" s="56">
        <v>9.758993</v>
      </c>
      <c r="M153" s="33"/>
      <c r="N153" s="33"/>
      <c r="O153" s="77">
        <v>46094.0</v>
      </c>
      <c r="P153" s="77">
        <v>46101.0</v>
      </c>
      <c r="Q153" s="72">
        <v>1.0</v>
      </c>
      <c r="R153" s="137" t="s">
        <v>305</v>
      </c>
    </row>
    <row r="154" ht="15.0" customHeight="1">
      <c r="A154" s="116" t="s">
        <v>306</v>
      </c>
      <c r="B154" s="119" t="s">
        <v>303</v>
      </c>
      <c r="C154" s="48"/>
      <c r="D154" s="49" t="s">
        <v>28</v>
      </c>
      <c r="E154" s="77">
        <v>46098.0</v>
      </c>
      <c r="F154" s="77">
        <v>46105.0</v>
      </c>
      <c r="G154" s="32"/>
      <c r="H154" s="32"/>
      <c r="I154" s="31"/>
      <c r="J154" s="55" t="s">
        <v>60</v>
      </c>
      <c r="K154" s="73" t="s">
        <v>304</v>
      </c>
      <c r="L154" s="56">
        <v>9.758993</v>
      </c>
      <c r="M154" s="33"/>
      <c r="N154" s="33"/>
      <c r="O154" s="141">
        <v>46112.0</v>
      </c>
      <c r="P154" s="141">
        <v>46126.0</v>
      </c>
      <c r="Q154" s="142">
        <v>1.0</v>
      </c>
      <c r="R154" s="143" t="s">
        <v>305</v>
      </c>
    </row>
    <row r="155" ht="15.0" customHeight="1">
      <c r="A155" s="116" t="s">
        <v>307</v>
      </c>
      <c r="B155" s="61" t="s">
        <v>308</v>
      </c>
      <c r="C155" s="48">
        <v>150.0</v>
      </c>
      <c r="D155" s="51" t="s">
        <v>38</v>
      </c>
      <c r="E155" s="77">
        <v>46081.0</v>
      </c>
      <c r="F155" s="77">
        <v>46112.0</v>
      </c>
      <c r="G155" s="32"/>
      <c r="H155" s="32"/>
      <c r="I155" s="31"/>
      <c r="J155" s="55" t="s">
        <v>40</v>
      </c>
      <c r="K155" s="31"/>
      <c r="L155" s="33"/>
      <c r="M155" s="33"/>
      <c r="N155" s="33"/>
      <c r="O155" s="32"/>
      <c r="P155" s="32"/>
      <c r="Q155" s="31"/>
      <c r="R155" s="137" t="s">
        <v>309</v>
      </c>
    </row>
    <row r="156" ht="15.0" customHeight="1">
      <c r="A156" s="116" t="s">
        <v>310</v>
      </c>
      <c r="B156" s="61" t="s">
        <v>311</v>
      </c>
      <c r="C156" s="48">
        <v>150.0</v>
      </c>
      <c r="D156" s="51" t="s">
        <v>38</v>
      </c>
      <c r="E156" s="77">
        <v>46081.0</v>
      </c>
      <c r="F156" s="77">
        <v>46112.0</v>
      </c>
      <c r="G156" s="32"/>
      <c r="H156" s="32"/>
      <c r="I156" s="31"/>
      <c r="J156" s="55" t="s">
        <v>40</v>
      </c>
      <c r="K156" s="31"/>
      <c r="L156" s="33"/>
      <c r="M156" s="33"/>
      <c r="N156" s="33"/>
      <c r="O156" s="32"/>
      <c r="P156" s="32"/>
      <c r="Q156" s="31"/>
      <c r="R156" s="137" t="s">
        <v>309</v>
      </c>
    </row>
    <row r="157" ht="15.0" customHeight="1">
      <c r="A157" s="116" t="s">
        <v>312</v>
      </c>
      <c r="B157" s="61" t="s">
        <v>313</v>
      </c>
      <c r="C157" s="48">
        <v>150.0</v>
      </c>
      <c r="D157" s="51" t="s">
        <v>38</v>
      </c>
      <c r="E157" s="77">
        <v>46081.0</v>
      </c>
      <c r="F157" s="77">
        <v>46112.0</v>
      </c>
      <c r="G157" s="32"/>
      <c r="H157" s="32"/>
      <c r="I157" s="31"/>
      <c r="J157" s="55" t="s">
        <v>40</v>
      </c>
      <c r="K157" s="31"/>
      <c r="L157" s="33"/>
      <c r="M157" s="33"/>
      <c r="N157" s="33"/>
      <c r="O157" s="32"/>
      <c r="P157" s="32"/>
      <c r="Q157" s="31"/>
      <c r="R157" s="137" t="s">
        <v>309</v>
      </c>
    </row>
    <row r="158" ht="15.0" customHeight="1">
      <c r="A158" s="116" t="s">
        <v>314</v>
      </c>
      <c r="B158" s="61" t="s">
        <v>315</v>
      </c>
      <c r="C158" s="48">
        <v>150.0</v>
      </c>
      <c r="D158" s="51" t="s">
        <v>38</v>
      </c>
      <c r="E158" s="77">
        <v>46081.0</v>
      </c>
      <c r="F158" s="77">
        <v>46112.0</v>
      </c>
      <c r="G158" s="32"/>
      <c r="H158" s="32"/>
      <c r="I158" s="31"/>
      <c r="J158" s="55" t="s">
        <v>40</v>
      </c>
      <c r="K158" s="31"/>
      <c r="L158" s="33"/>
      <c r="M158" s="33"/>
      <c r="N158" s="33"/>
      <c r="O158" s="32"/>
      <c r="P158" s="32"/>
      <c r="Q158" s="31"/>
      <c r="R158" s="137" t="s">
        <v>309</v>
      </c>
    </row>
    <row r="159" ht="15.0" customHeight="1">
      <c r="A159" s="116" t="s">
        <v>316</v>
      </c>
      <c r="B159" s="61" t="s">
        <v>317</v>
      </c>
      <c r="C159" s="48">
        <v>150.0</v>
      </c>
      <c r="D159" s="51" t="s">
        <v>38</v>
      </c>
      <c r="E159" s="77">
        <v>46081.0</v>
      </c>
      <c r="F159" s="77">
        <v>46112.0</v>
      </c>
      <c r="G159" s="32"/>
      <c r="H159" s="32"/>
      <c r="I159" s="31"/>
      <c r="J159" s="55" t="s">
        <v>40</v>
      </c>
      <c r="K159" s="31"/>
      <c r="L159" s="33"/>
      <c r="M159" s="33"/>
      <c r="N159" s="33"/>
      <c r="O159" s="32"/>
      <c r="P159" s="32"/>
      <c r="Q159" s="31"/>
      <c r="R159" s="137" t="s">
        <v>309</v>
      </c>
    </row>
    <row r="160" ht="25.5" customHeight="1">
      <c r="A160" s="116" t="s">
        <v>318</v>
      </c>
      <c r="B160" s="62" t="s">
        <v>319</v>
      </c>
      <c r="C160" s="48">
        <v>400.0</v>
      </c>
      <c r="D160" s="51" t="s">
        <v>38</v>
      </c>
      <c r="E160" s="77">
        <v>46081.0</v>
      </c>
      <c r="F160" s="77">
        <v>46112.0</v>
      </c>
      <c r="G160" s="32"/>
      <c r="H160" s="32"/>
      <c r="I160" s="31"/>
      <c r="J160" s="55" t="s">
        <v>40</v>
      </c>
      <c r="K160" s="31"/>
      <c r="L160" s="33"/>
      <c r="M160" s="33"/>
      <c r="N160" s="33"/>
      <c r="O160" s="32"/>
      <c r="P160" s="32"/>
      <c r="Q160" s="31"/>
      <c r="R160" s="137" t="s">
        <v>309</v>
      </c>
    </row>
    <row r="161" ht="15.0" customHeight="1">
      <c r="A161" s="116"/>
      <c r="B161" s="119" t="s">
        <v>128</v>
      </c>
      <c r="C161" s="48"/>
      <c r="D161" s="49" t="s">
        <v>67</v>
      </c>
      <c r="E161" s="77">
        <v>46077.0</v>
      </c>
      <c r="F161" s="77">
        <v>46098.0</v>
      </c>
      <c r="G161" s="32"/>
      <c r="H161" s="32"/>
      <c r="I161" s="77">
        <v>46112.0</v>
      </c>
      <c r="J161" s="55" t="s">
        <v>60</v>
      </c>
      <c r="K161" s="73" t="s">
        <v>320</v>
      </c>
      <c r="L161" s="56">
        <v>134.126106</v>
      </c>
      <c r="M161" s="33"/>
      <c r="N161" s="33"/>
      <c r="O161" s="32"/>
      <c r="P161" s="32"/>
      <c r="Q161" s="31"/>
      <c r="R161" s="34"/>
    </row>
    <row r="162" ht="15.0" customHeight="1">
      <c r="A162" s="116" t="s">
        <v>321</v>
      </c>
      <c r="B162" s="144" t="s">
        <v>322</v>
      </c>
      <c r="C162" s="48">
        <v>200.0</v>
      </c>
      <c r="D162" s="51" t="s">
        <v>38</v>
      </c>
      <c r="E162" s="31"/>
      <c r="F162" s="31"/>
      <c r="G162" s="32"/>
      <c r="H162" s="32"/>
      <c r="I162" s="31"/>
      <c r="J162" s="50" t="s">
        <v>29</v>
      </c>
      <c r="K162" s="31"/>
      <c r="L162" s="33"/>
      <c r="M162" s="33"/>
      <c r="N162" s="33"/>
      <c r="O162" s="32"/>
      <c r="P162" s="32"/>
      <c r="Q162" s="31"/>
      <c r="R162" s="34"/>
    </row>
    <row r="163" ht="15.0" customHeight="1">
      <c r="A163" s="116"/>
      <c r="B163" s="145" t="s">
        <v>323</v>
      </c>
      <c r="C163" s="48"/>
      <c r="D163" s="49" t="s">
        <v>38</v>
      </c>
      <c r="E163" s="77">
        <v>46110.0</v>
      </c>
      <c r="F163" s="77">
        <v>46136.0</v>
      </c>
      <c r="G163" s="32"/>
      <c r="H163" s="32"/>
      <c r="I163" s="31"/>
      <c r="J163" s="55" t="s">
        <v>108</v>
      </c>
      <c r="K163" s="31"/>
      <c r="L163" s="33"/>
      <c r="M163" s="33"/>
      <c r="N163" s="33"/>
      <c r="O163" s="32"/>
      <c r="P163" s="32"/>
      <c r="Q163" s="31"/>
      <c r="R163" s="34"/>
    </row>
    <row r="164" ht="15.0" customHeight="1">
      <c r="A164" s="116"/>
      <c r="B164" s="145" t="s">
        <v>324</v>
      </c>
      <c r="C164" s="48"/>
      <c r="D164" s="49" t="s">
        <v>38</v>
      </c>
      <c r="E164" s="77">
        <v>46110.0</v>
      </c>
      <c r="F164" s="77">
        <v>46136.0</v>
      </c>
      <c r="G164" s="32"/>
      <c r="H164" s="32"/>
      <c r="I164" s="31"/>
      <c r="J164" s="55" t="s">
        <v>108</v>
      </c>
      <c r="K164" s="31"/>
      <c r="L164" s="33"/>
      <c r="M164" s="33"/>
      <c r="N164" s="33"/>
      <c r="O164" s="32"/>
      <c r="P164" s="32"/>
      <c r="Q164" s="31"/>
      <c r="R164" s="34"/>
    </row>
    <row r="165" ht="15.0" customHeight="1">
      <c r="A165" s="116"/>
      <c r="B165" s="145" t="s">
        <v>325</v>
      </c>
      <c r="C165" s="48"/>
      <c r="D165" s="49" t="s">
        <v>38</v>
      </c>
      <c r="E165" s="77">
        <v>46110.0</v>
      </c>
      <c r="F165" s="77">
        <v>46136.0</v>
      </c>
      <c r="G165" s="32"/>
      <c r="H165" s="32"/>
      <c r="I165" s="31"/>
      <c r="J165" s="55" t="s">
        <v>108</v>
      </c>
      <c r="K165" s="31"/>
      <c r="L165" s="33"/>
      <c r="M165" s="33"/>
      <c r="N165" s="33"/>
      <c r="O165" s="32"/>
      <c r="P165" s="32"/>
      <c r="Q165" s="31"/>
      <c r="R165" s="34"/>
    </row>
    <row r="166" ht="15.0" customHeight="1">
      <c r="A166" s="116"/>
      <c r="B166" s="145" t="s">
        <v>326</v>
      </c>
      <c r="C166" s="48"/>
      <c r="D166" s="49" t="s">
        <v>38</v>
      </c>
      <c r="E166" s="77">
        <v>46110.0</v>
      </c>
      <c r="F166" s="77">
        <v>46136.0</v>
      </c>
      <c r="G166" s="32"/>
      <c r="H166" s="32"/>
      <c r="I166" s="31"/>
      <c r="J166" s="55" t="s">
        <v>108</v>
      </c>
      <c r="K166" s="31"/>
      <c r="L166" s="33"/>
      <c r="M166" s="33"/>
      <c r="N166" s="33"/>
      <c r="O166" s="32"/>
      <c r="P166" s="32"/>
      <c r="Q166" s="31"/>
      <c r="R166" s="34"/>
    </row>
    <row r="167" ht="15.0" customHeight="1">
      <c r="A167" s="116"/>
      <c r="B167" s="145" t="s">
        <v>327</v>
      </c>
      <c r="C167" s="48"/>
      <c r="D167" s="49" t="s">
        <v>38</v>
      </c>
      <c r="E167" s="77">
        <v>46107.0</v>
      </c>
      <c r="F167" s="77">
        <v>46135.0</v>
      </c>
      <c r="G167" s="32"/>
      <c r="H167" s="32"/>
      <c r="I167" s="31"/>
      <c r="J167" s="55" t="s">
        <v>108</v>
      </c>
      <c r="K167" s="31"/>
      <c r="L167" s="33"/>
      <c r="M167" s="33"/>
      <c r="N167" s="33"/>
      <c r="O167" s="32"/>
      <c r="P167" s="32"/>
      <c r="Q167" s="31"/>
      <c r="R167" s="34"/>
    </row>
    <row r="168" ht="15.0" customHeight="1">
      <c r="A168" s="116"/>
      <c r="B168" s="145" t="s">
        <v>328</v>
      </c>
      <c r="C168" s="48"/>
      <c r="D168" s="49" t="s">
        <v>38</v>
      </c>
      <c r="E168" s="77">
        <v>46107.0</v>
      </c>
      <c r="F168" s="77">
        <v>46135.0</v>
      </c>
      <c r="G168" s="32"/>
      <c r="H168" s="32"/>
      <c r="I168" s="31"/>
      <c r="J168" s="55" t="s">
        <v>108</v>
      </c>
      <c r="K168" s="31"/>
      <c r="L168" s="33"/>
      <c r="M168" s="33"/>
      <c r="N168" s="33"/>
      <c r="O168" s="32"/>
      <c r="P168" s="32"/>
      <c r="Q168" s="31"/>
      <c r="R168" s="34"/>
    </row>
    <row r="169" ht="15.0" customHeight="1">
      <c r="A169" s="116"/>
      <c r="B169" s="145" t="s">
        <v>329</v>
      </c>
      <c r="C169" s="48"/>
      <c r="D169" s="49" t="s">
        <v>38</v>
      </c>
      <c r="E169" s="31"/>
      <c r="F169" s="31"/>
      <c r="G169" s="32"/>
      <c r="H169" s="32"/>
      <c r="I169" s="31"/>
      <c r="J169" s="50"/>
      <c r="K169" s="31"/>
      <c r="L169" s="33"/>
      <c r="M169" s="33"/>
      <c r="N169" s="33"/>
      <c r="O169" s="32"/>
      <c r="P169" s="32"/>
      <c r="Q169" s="31"/>
      <c r="R169" s="34"/>
    </row>
    <row r="170" ht="15.0" customHeight="1">
      <c r="A170" s="116"/>
      <c r="B170" s="145" t="s">
        <v>330</v>
      </c>
      <c r="C170" s="48"/>
      <c r="D170" s="146" t="s">
        <v>38</v>
      </c>
      <c r="E170" s="31"/>
      <c r="F170" s="31"/>
      <c r="G170" s="32"/>
      <c r="H170" s="32"/>
      <c r="I170" s="31"/>
      <c r="J170" s="50"/>
      <c r="K170" s="31"/>
      <c r="L170" s="33"/>
      <c r="M170" s="33"/>
      <c r="N170" s="33"/>
      <c r="O170" s="32"/>
      <c r="P170" s="32"/>
      <c r="Q170" s="31"/>
      <c r="R170" s="34"/>
    </row>
    <row r="171" ht="15.0" customHeight="1">
      <c r="A171" s="116"/>
      <c r="B171" s="145" t="s">
        <v>331</v>
      </c>
      <c r="C171" s="48"/>
      <c r="D171" s="146" t="s">
        <v>38</v>
      </c>
      <c r="E171" s="31"/>
      <c r="F171" s="31"/>
      <c r="G171" s="32"/>
      <c r="H171" s="32"/>
      <c r="I171" s="31"/>
      <c r="J171" s="50"/>
      <c r="K171" s="31"/>
      <c r="L171" s="33"/>
      <c r="M171" s="33"/>
      <c r="N171" s="33"/>
      <c r="O171" s="32"/>
      <c r="P171" s="32"/>
      <c r="Q171" s="31"/>
      <c r="R171" s="34"/>
    </row>
    <row r="173" ht="15.0" customHeight="1">
      <c r="A173" s="116"/>
      <c r="B173" s="61"/>
      <c r="C173" s="48"/>
      <c r="D173" s="51"/>
      <c r="E173" s="31"/>
      <c r="F173" s="31"/>
      <c r="G173" s="32"/>
      <c r="H173" s="32"/>
      <c r="I173" s="31"/>
      <c r="J173" s="50"/>
      <c r="K173" s="31"/>
      <c r="L173" s="33"/>
      <c r="M173" s="33"/>
      <c r="N173" s="33"/>
      <c r="O173" s="32"/>
      <c r="P173" s="32"/>
      <c r="Q173" s="31"/>
      <c r="R173" s="34"/>
    </row>
    <row r="174" ht="15.0" customHeight="1">
      <c r="A174" s="116"/>
      <c r="B174" s="61"/>
      <c r="C174" s="48"/>
      <c r="D174" s="51"/>
      <c r="E174" s="31"/>
      <c r="F174" s="31"/>
      <c r="G174" s="32"/>
      <c r="H174" s="32"/>
      <c r="I174" s="31"/>
      <c r="J174" s="50"/>
      <c r="K174" s="31"/>
      <c r="L174" s="33"/>
      <c r="M174" s="33"/>
      <c r="N174" s="33"/>
      <c r="O174" s="32"/>
      <c r="P174" s="32"/>
      <c r="Q174" s="31"/>
      <c r="R174" s="34"/>
    </row>
    <row r="175" ht="15.0" customHeight="1">
      <c r="A175" s="116" t="s">
        <v>332</v>
      </c>
      <c r="B175" s="62" t="s">
        <v>333</v>
      </c>
      <c r="C175" s="48">
        <v>100.0</v>
      </c>
      <c r="D175" s="51" t="s">
        <v>38</v>
      </c>
      <c r="E175" s="31"/>
      <c r="F175" s="31"/>
      <c r="G175" s="32"/>
      <c r="H175" s="32"/>
      <c r="I175" s="31"/>
      <c r="J175" s="50" t="s">
        <v>29</v>
      </c>
      <c r="K175" s="31"/>
      <c r="L175" s="33"/>
      <c r="M175" s="33"/>
      <c r="N175" s="33"/>
      <c r="O175" s="32"/>
      <c r="P175" s="32"/>
      <c r="Q175" s="31"/>
      <c r="R175" s="34"/>
    </row>
    <row r="176" ht="37.5" customHeight="1">
      <c r="A176" s="116"/>
      <c r="B176" s="80" t="s">
        <v>334</v>
      </c>
      <c r="C176" s="48"/>
      <c r="D176" s="49" t="s">
        <v>67</v>
      </c>
      <c r="E176" s="77">
        <v>46111.0</v>
      </c>
      <c r="F176" s="77">
        <v>46118.0</v>
      </c>
      <c r="G176" s="32"/>
      <c r="H176" s="32"/>
      <c r="I176" s="77">
        <v>46122.0</v>
      </c>
      <c r="J176" s="55" t="s">
        <v>60</v>
      </c>
      <c r="K176" s="147" t="s">
        <v>335</v>
      </c>
      <c r="L176" s="56">
        <v>13.6816</v>
      </c>
      <c r="M176" s="33"/>
      <c r="N176" s="33"/>
      <c r="O176" s="32"/>
      <c r="P176" s="32"/>
      <c r="Q176" s="72">
        <v>1.0</v>
      </c>
      <c r="R176" s="58" t="s">
        <v>336</v>
      </c>
    </row>
    <row r="177">
      <c r="A177" s="116"/>
      <c r="B177" s="74" t="s">
        <v>337</v>
      </c>
      <c r="C177" s="48"/>
      <c r="D177" s="49" t="s">
        <v>67</v>
      </c>
      <c r="E177" s="77">
        <v>46062.0</v>
      </c>
      <c r="F177" s="77">
        <v>46069.0</v>
      </c>
      <c r="G177" s="32"/>
      <c r="H177" s="32"/>
      <c r="I177" s="77">
        <v>46071.0</v>
      </c>
      <c r="J177" s="55" t="s">
        <v>60</v>
      </c>
      <c r="K177" s="147" t="s">
        <v>335</v>
      </c>
      <c r="L177" s="56">
        <v>12.826</v>
      </c>
      <c r="M177" s="33"/>
      <c r="N177" s="33"/>
      <c r="O177" s="32"/>
      <c r="P177" s="32"/>
      <c r="Q177" s="72">
        <v>1.0</v>
      </c>
      <c r="R177" s="58" t="s">
        <v>336</v>
      </c>
    </row>
    <row r="178">
      <c r="A178" s="116"/>
      <c r="B178" s="74" t="s">
        <v>338</v>
      </c>
      <c r="C178" s="48"/>
      <c r="D178" s="49" t="s">
        <v>67</v>
      </c>
      <c r="E178" s="77">
        <v>46055.0</v>
      </c>
      <c r="F178" s="77">
        <v>46059.0</v>
      </c>
      <c r="G178" s="32"/>
      <c r="H178" s="32"/>
      <c r="I178" s="77">
        <v>46062.0</v>
      </c>
      <c r="J178" s="55" t="s">
        <v>60</v>
      </c>
      <c r="K178" s="147" t="s">
        <v>335</v>
      </c>
      <c r="L178" s="56">
        <v>5.866</v>
      </c>
      <c r="M178" s="33"/>
      <c r="N178" s="33"/>
      <c r="O178" s="32"/>
      <c r="P178" s="32"/>
      <c r="Q178" s="72">
        <v>1.0</v>
      </c>
      <c r="R178" s="58" t="s">
        <v>336</v>
      </c>
    </row>
    <row r="179">
      <c r="A179" s="116" t="s">
        <v>339</v>
      </c>
      <c r="B179" s="61" t="s">
        <v>340</v>
      </c>
      <c r="C179" s="48">
        <v>100.0</v>
      </c>
      <c r="D179" s="51" t="s">
        <v>38</v>
      </c>
      <c r="E179" s="31"/>
      <c r="F179" s="31"/>
      <c r="G179" s="32"/>
      <c r="H179" s="32"/>
      <c r="I179" s="31"/>
      <c r="J179" s="50" t="s">
        <v>29</v>
      </c>
      <c r="K179" s="147" t="s">
        <v>335</v>
      </c>
      <c r="L179" s="33"/>
      <c r="M179" s="33"/>
      <c r="N179" s="33"/>
      <c r="O179" s="32"/>
      <c r="P179" s="32"/>
      <c r="Q179" s="31"/>
      <c r="R179" s="34"/>
    </row>
    <row r="180" ht="15.0" customHeight="1">
      <c r="A180" s="115" t="s">
        <v>341</v>
      </c>
      <c r="B180" s="61" t="s">
        <v>342</v>
      </c>
      <c r="C180" s="48">
        <v>500.0</v>
      </c>
      <c r="D180" s="51" t="s">
        <v>38</v>
      </c>
      <c r="E180" s="77">
        <v>46124.0</v>
      </c>
      <c r="F180" s="77">
        <v>46136.0</v>
      </c>
      <c r="G180" s="32"/>
      <c r="H180" s="32"/>
      <c r="I180" s="31"/>
      <c r="J180" s="55" t="s">
        <v>108</v>
      </c>
      <c r="K180" s="31"/>
      <c r="L180" s="33"/>
      <c r="M180" s="33"/>
      <c r="N180" s="33"/>
      <c r="O180" s="32"/>
      <c r="P180" s="32"/>
      <c r="Q180" s="31"/>
      <c r="R180" s="58" t="s">
        <v>343</v>
      </c>
    </row>
    <row r="181" ht="15.0" customHeight="1">
      <c r="A181" s="116" t="s">
        <v>344</v>
      </c>
      <c r="B181" s="61" t="s">
        <v>345</v>
      </c>
      <c r="C181" s="48">
        <v>60.0</v>
      </c>
      <c r="D181" s="51" t="s">
        <v>38</v>
      </c>
      <c r="E181" s="31"/>
      <c r="F181" s="31"/>
      <c r="G181" s="32"/>
      <c r="H181" s="32"/>
      <c r="I181" s="31"/>
      <c r="J181" s="50" t="s">
        <v>29</v>
      </c>
      <c r="K181" s="31"/>
      <c r="L181" s="33"/>
      <c r="M181" s="33"/>
      <c r="N181" s="33"/>
      <c r="O181" s="32"/>
      <c r="P181" s="32"/>
      <c r="Q181" s="31"/>
      <c r="R181" s="34"/>
    </row>
    <row r="182" ht="15.0" customHeight="1">
      <c r="A182" s="46"/>
      <c r="B182" s="46"/>
      <c r="C182" s="30"/>
      <c r="D182" s="31"/>
      <c r="E182" s="31"/>
      <c r="F182" s="31"/>
      <c r="G182" s="32"/>
      <c r="H182" s="32"/>
      <c r="I182" s="31"/>
      <c r="J182" s="31"/>
      <c r="K182" s="31"/>
      <c r="L182" s="33"/>
      <c r="M182" s="33"/>
      <c r="N182" s="33"/>
      <c r="O182" s="32"/>
      <c r="P182" s="32"/>
      <c r="Q182" s="31"/>
      <c r="R182" s="34"/>
    </row>
    <row r="183" ht="15.0" customHeight="1">
      <c r="A183" s="46"/>
      <c r="B183" s="46"/>
      <c r="C183" s="30"/>
      <c r="D183" s="31"/>
      <c r="E183" s="31"/>
      <c r="F183" s="31"/>
      <c r="G183" s="32"/>
      <c r="H183" s="32"/>
      <c r="I183" s="31"/>
      <c r="J183" s="31"/>
      <c r="K183" s="31"/>
      <c r="L183" s="33"/>
      <c r="M183" s="33"/>
      <c r="N183" s="33"/>
      <c r="O183" s="32"/>
      <c r="P183" s="32"/>
      <c r="Q183" s="31"/>
      <c r="R183" s="34"/>
    </row>
    <row r="184" ht="15.0" customHeight="1">
      <c r="A184" s="40">
        <v>2802600.0</v>
      </c>
      <c r="B184" s="40" t="s">
        <v>346</v>
      </c>
      <c r="C184" s="41">
        <f>SUM(C186:C198)</f>
        <v>2180</v>
      </c>
      <c r="D184" s="42"/>
      <c r="E184" s="42"/>
      <c r="F184" s="42"/>
      <c r="G184" s="43"/>
      <c r="H184" s="43"/>
      <c r="I184" s="42"/>
      <c r="J184" s="42"/>
      <c r="K184" s="42"/>
      <c r="L184" s="75">
        <f>sum(L185:L199)</f>
        <v>2757.010358</v>
      </c>
      <c r="M184" s="44"/>
      <c r="N184" s="44"/>
      <c r="O184" s="43"/>
      <c r="P184" s="43"/>
      <c r="Q184" s="42"/>
      <c r="R184" s="45"/>
    </row>
    <row r="185" ht="15.0" customHeight="1">
      <c r="A185" s="29"/>
      <c r="B185" s="88" t="s">
        <v>65</v>
      </c>
      <c r="C185" s="30"/>
      <c r="D185" s="31"/>
      <c r="E185" s="31"/>
      <c r="F185" s="31"/>
      <c r="G185" s="32"/>
      <c r="H185" s="32"/>
      <c r="I185" s="31"/>
      <c r="J185" s="31"/>
      <c r="K185" s="31"/>
      <c r="L185" s="33"/>
      <c r="M185" s="33"/>
      <c r="N185" s="33"/>
      <c r="O185" s="32"/>
      <c r="P185" s="32"/>
      <c r="Q185" s="31"/>
      <c r="R185" s="34"/>
    </row>
    <row r="186" ht="15.0" customHeight="1">
      <c r="A186" s="148" t="s">
        <v>347</v>
      </c>
      <c r="B186" s="47" t="s">
        <v>348</v>
      </c>
      <c r="C186" s="48">
        <v>300.0</v>
      </c>
      <c r="D186" s="51" t="s">
        <v>38</v>
      </c>
      <c r="E186" s="31"/>
      <c r="F186" s="31"/>
      <c r="G186" s="32"/>
      <c r="H186" s="32"/>
      <c r="I186" s="31"/>
      <c r="J186" s="50" t="s">
        <v>60</v>
      </c>
      <c r="K186" s="31"/>
      <c r="L186" s="33"/>
      <c r="M186" s="33"/>
      <c r="N186" s="33"/>
      <c r="O186" s="32"/>
      <c r="P186" s="32"/>
      <c r="Q186" s="31"/>
      <c r="R186" s="34"/>
    </row>
    <row r="187" ht="15.0" customHeight="1">
      <c r="A187" s="148" t="s">
        <v>349</v>
      </c>
      <c r="B187" s="47" t="s">
        <v>350</v>
      </c>
      <c r="C187" s="48">
        <v>1000.0</v>
      </c>
      <c r="D187" s="51" t="s">
        <v>38</v>
      </c>
      <c r="E187" s="149" t="s">
        <v>204</v>
      </c>
      <c r="F187" s="149" t="s">
        <v>204</v>
      </c>
      <c r="G187" s="150"/>
      <c r="H187" s="150"/>
      <c r="I187" s="149" t="s">
        <v>204</v>
      </c>
      <c r="J187" s="151" t="s">
        <v>351</v>
      </c>
      <c r="K187" s="152" t="s">
        <v>352</v>
      </c>
      <c r="L187" s="153">
        <v>2439.895</v>
      </c>
      <c r="M187" s="154">
        <v>484.738</v>
      </c>
      <c r="N187" s="153">
        <v>24.0</v>
      </c>
      <c r="O187" s="155">
        <v>46083.0</v>
      </c>
      <c r="P187" s="155">
        <v>46814.0</v>
      </c>
      <c r="Q187" s="156">
        <v>0.02</v>
      </c>
      <c r="R187" s="157" t="s">
        <v>206</v>
      </c>
    </row>
    <row r="188" ht="15.0" customHeight="1">
      <c r="A188" s="148"/>
      <c r="B188" s="88" t="s">
        <v>106</v>
      </c>
      <c r="C188" s="48"/>
      <c r="D188" s="31"/>
      <c r="E188" s="31"/>
      <c r="F188" s="31"/>
      <c r="G188" s="32"/>
      <c r="H188" s="32"/>
      <c r="I188" s="31"/>
      <c r="J188" s="31"/>
      <c r="K188" s="31"/>
      <c r="L188" s="33"/>
      <c r="M188" s="33"/>
      <c r="N188" s="33"/>
      <c r="O188" s="32"/>
      <c r="P188" s="32"/>
      <c r="Q188" s="31"/>
      <c r="R188" s="34"/>
    </row>
    <row r="189" ht="15.0" customHeight="1">
      <c r="A189" s="148" t="s">
        <v>353</v>
      </c>
      <c r="B189" s="47" t="s">
        <v>354</v>
      </c>
      <c r="C189" s="48">
        <v>180.0</v>
      </c>
      <c r="D189" s="51" t="s">
        <v>38</v>
      </c>
      <c r="E189" s="77">
        <v>45943.0</v>
      </c>
      <c r="F189" s="77">
        <v>45972.0</v>
      </c>
      <c r="G189" s="32"/>
      <c r="H189" s="77">
        <v>45981.0</v>
      </c>
      <c r="I189" s="77">
        <v>45994.0</v>
      </c>
      <c r="J189" s="55" t="s">
        <v>60</v>
      </c>
      <c r="K189" s="158" t="s">
        <v>355</v>
      </c>
      <c r="L189" s="64">
        <v>214.284868</v>
      </c>
      <c r="M189" s="33"/>
      <c r="N189" s="33"/>
      <c r="O189" s="155">
        <v>46111.0</v>
      </c>
      <c r="P189" s="155">
        <v>46234.0</v>
      </c>
      <c r="Q189" s="31"/>
      <c r="R189" s="82" t="s">
        <v>356</v>
      </c>
    </row>
    <row r="190" ht="15.0" customHeight="1">
      <c r="A190" s="148" t="s">
        <v>357</v>
      </c>
      <c r="B190" s="47" t="s">
        <v>358</v>
      </c>
      <c r="C190" s="48">
        <v>150.0</v>
      </c>
      <c r="D190" s="51" t="s">
        <v>38</v>
      </c>
      <c r="E190" s="77">
        <v>46081.0</v>
      </c>
      <c r="F190" s="77">
        <v>46112.0</v>
      </c>
      <c r="G190" s="32"/>
      <c r="H190" s="32"/>
      <c r="I190" s="31"/>
      <c r="J190" s="55" t="s">
        <v>40</v>
      </c>
      <c r="K190" s="31"/>
      <c r="L190" s="33"/>
      <c r="M190" s="33"/>
      <c r="N190" s="33"/>
      <c r="O190" s="32"/>
      <c r="P190" s="32"/>
      <c r="Q190" s="31"/>
      <c r="R190" s="137" t="s">
        <v>309</v>
      </c>
    </row>
    <row r="191" ht="15.0" customHeight="1">
      <c r="A191" s="148" t="s">
        <v>359</v>
      </c>
      <c r="B191" s="47" t="s">
        <v>360</v>
      </c>
      <c r="C191" s="48">
        <v>150.0</v>
      </c>
      <c r="D191" s="51" t="s">
        <v>38</v>
      </c>
      <c r="E191" s="77">
        <v>46081.0</v>
      </c>
      <c r="F191" s="77">
        <v>46112.0</v>
      </c>
      <c r="G191" s="32"/>
      <c r="H191" s="32"/>
      <c r="I191" s="31"/>
      <c r="J191" s="55" t="s">
        <v>40</v>
      </c>
      <c r="K191" s="31"/>
      <c r="L191" s="33"/>
      <c r="M191" s="33"/>
      <c r="N191" s="33"/>
      <c r="O191" s="32"/>
      <c r="P191" s="32"/>
      <c r="Q191" s="31"/>
      <c r="R191" s="137" t="s">
        <v>309</v>
      </c>
    </row>
    <row r="192" ht="15.0" customHeight="1">
      <c r="A192" s="148" t="s">
        <v>361</v>
      </c>
      <c r="B192" s="88" t="s">
        <v>362</v>
      </c>
      <c r="C192" s="30">
        <v>300.0</v>
      </c>
      <c r="D192" s="159" t="s">
        <v>38</v>
      </c>
      <c r="E192" s="31"/>
      <c r="F192" s="31"/>
      <c r="G192" s="32"/>
      <c r="H192" s="32"/>
      <c r="I192" s="31"/>
      <c r="J192" s="50" t="s">
        <v>29</v>
      </c>
      <c r="K192" s="31"/>
      <c r="L192" s="33"/>
      <c r="M192" s="33"/>
      <c r="N192" s="33"/>
      <c r="O192" s="32"/>
      <c r="P192" s="32"/>
      <c r="Q192" s="31"/>
      <c r="R192" s="34"/>
    </row>
    <row r="193" ht="25.5" customHeight="1">
      <c r="A193" s="148"/>
      <c r="B193" s="160" t="s">
        <v>363</v>
      </c>
      <c r="C193" s="48"/>
      <c r="D193" s="49" t="s">
        <v>67</v>
      </c>
      <c r="E193" s="77">
        <v>45964.0</v>
      </c>
      <c r="F193" s="77">
        <v>45964.0</v>
      </c>
      <c r="G193" s="32"/>
      <c r="H193" s="32"/>
      <c r="I193" s="77">
        <v>45980.0</v>
      </c>
      <c r="J193" s="55" t="s">
        <v>60</v>
      </c>
      <c r="K193" s="73" t="s">
        <v>364</v>
      </c>
      <c r="L193" s="56">
        <v>84.90934</v>
      </c>
      <c r="M193" s="33"/>
      <c r="N193" s="33"/>
      <c r="O193" s="155">
        <v>46080.0</v>
      </c>
      <c r="P193" s="155">
        <v>46934.0</v>
      </c>
      <c r="Q193" s="31"/>
      <c r="R193" s="82" t="s">
        <v>365</v>
      </c>
    </row>
    <row r="194" ht="32.25" customHeight="1">
      <c r="A194" s="148"/>
      <c r="B194" s="160" t="s">
        <v>366</v>
      </c>
      <c r="C194" s="48"/>
      <c r="D194" s="49" t="s">
        <v>28</v>
      </c>
      <c r="E194" s="77">
        <v>46101.0</v>
      </c>
      <c r="F194" s="77">
        <v>46108.0</v>
      </c>
      <c r="G194" s="32"/>
      <c r="H194" s="32"/>
      <c r="I194" s="31"/>
      <c r="J194" s="55" t="s">
        <v>60</v>
      </c>
      <c r="K194" s="73" t="s">
        <v>367</v>
      </c>
      <c r="L194" s="64">
        <v>7.17525</v>
      </c>
      <c r="M194" s="70"/>
      <c r="N194" s="70"/>
      <c r="O194" s="77">
        <v>46860.0</v>
      </c>
      <c r="P194" s="77">
        <v>46919.0</v>
      </c>
      <c r="Q194" s="31"/>
      <c r="R194" s="82" t="s">
        <v>368</v>
      </c>
    </row>
    <row r="195" ht="27.0" customHeight="1">
      <c r="A195" s="148"/>
      <c r="B195" s="160" t="s">
        <v>369</v>
      </c>
      <c r="C195" s="48"/>
      <c r="D195" s="49" t="s">
        <v>28</v>
      </c>
      <c r="E195" s="77">
        <v>46101.0</v>
      </c>
      <c r="F195" s="77">
        <v>46108.0</v>
      </c>
      <c r="G195" s="32"/>
      <c r="H195" s="32"/>
      <c r="I195" s="31"/>
      <c r="J195" s="55" t="s">
        <v>60</v>
      </c>
      <c r="K195" s="73" t="s">
        <v>367</v>
      </c>
      <c r="L195" s="64">
        <v>9.4005</v>
      </c>
      <c r="M195" s="70"/>
      <c r="N195" s="70"/>
      <c r="O195" s="77">
        <v>46860.0</v>
      </c>
      <c r="P195" s="77">
        <v>46919.0</v>
      </c>
      <c r="Q195" s="31"/>
      <c r="R195" s="82" t="s">
        <v>368</v>
      </c>
    </row>
    <row r="196" ht="15.0" customHeight="1">
      <c r="A196" s="148"/>
      <c r="B196" s="160" t="s">
        <v>370</v>
      </c>
      <c r="C196" s="48"/>
      <c r="D196" s="49" t="s">
        <v>28</v>
      </c>
      <c r="E196" s="77">
        <v>46101.0</v>
      </c>
      <c r="F196" s="77">
        <v>46108.0</v>
      </c>
      <c r="G196" s="32"/>
      <c r="H196" s="32"/>
      <c r="I196" s="31"/>
      <c r="J196" s="55" t="s">
        <v>60</v>
      </c>
      <c r="K196" s="73" t="s">
        <v>371</v>
      </c>
      <c r="L196" s="64">
        <v>1.3454</v>
      </c>
      <c r="M196" s="70"/>
      <c r="N196" s="70"/>
      <c r="O196" s="77">
        <v>46860.0</v>
      </c>
      <c r="P196" s="77">
        <v>46919.0</v>
      </c>
      <c r="Q196" s="31"/>
      <c r="R196" s="82" t="s">
        <v>368</v>
      </c>
    </row>
    <row r="197" ht="15.0" customHeight="1">
      <c r="A197" s="148"/>
      <c r="B197" s="47"/>
      <c r="C197" s="48"/>
      <c r="D197" s="51"/>
      <c r="E197" s="31"/>
      <c r="F197" s="31"/>
      <c r="G197" s="32"/>
      <c r="H197" s="32"/>
      <c r="I197" s="31"/>
      <c r="J197" s="50"/>
      <c r="K197" s="31"/>
      <c r="L197" s="33"/>
      <c r="M197" s="33"/>
      <c r="N197" s="33"/>
      <c r="O197" s="32"/>
      <c r="P197" s="32"/>
      <c r="Q197" s="31"/>
      <c r="R197" s="34"/>
    </row>
    <row r="198" ht="33.0" customHeight="1">
      <c r="A198" s="148" t="s">
        <v>372</v>
      </c>
      <c r="B198" s="47" t="s">
        <v>373</v>
      </c>
      <c r="C198" s="48">
        <v>100.0</v>
      </c>
      <c r="D198" s="51" t="s">
        <v>38</v>
      </c>
      <c r="E198" s="31"/>
      <c r="F198" s="31"/>
      <c r="G198" s="32"/>
      <c r="H198" s="32"/>
      <c r="I198" s="31"/>
      <c r="J198" s="50" t="s">
        <v>29</v>
      </c>
      <c r="K198" s="31"/>
      <c r="L198" s="33"/>
      <c r="M198" s="33"/>
      <c r="N198" s="33"/>
      <c r="O198" s="32"/>
      <c r="P198" s="32"/>
      <c r="Q198" s="31"/>
      <c r="R198" s="69" t="s">
        <v>374</v>
      </c>
    </row>
    <row r="199" ht="15.0" customHeight="1">
      <c r="A199" s="46"/>
      <c r="B199" s="46"/>
      <c r="C199" s="30"/>
      <c r="D199" s="31"/>
      <c r="E199" s="31"/>
      <c r="F199" s="31"/>
      <c r="G199" s="32"/>
      <c r="H199" s="32"/>
      <c r="I199" s="31"/>
      <c r="J199" s="31"/>
      <c r="K199" s="31"/>
      <c r="L199" s="33"/>
      <c r="M199" s="33"/>
      <c r="N199" s="33"/>
      <c r="O199" s="32"/>
      <c r="P199" s="32"/>
      <c r="Q199" s="31"/>
      <c r="R199" s="34"/>
    </row>
    <row r="200" ht="15.0" customHeight="1">
      <c r="A200" s="35">
        <v>344.0</v>
      </c>
      <c r="B200" s="35" t="s">
        <v>375</v>
      </c>
      <c r="C200" s="36">
        <f>SUM(C205,C221,C225)</f>
        <v>5405.585683</v>
      </c>
      <c r="D200" s="14"/>
      <c r="E200" s="14"/>
      <c r="F200" s="14"/>
      <c r="G200" s="37"/>
      <c r="H200" s="37"/>
      <c r="I200" s="14"/>
      <c r="J200" s="14"/>
      <c r="K200" s="14"/>
      <c r="L200" s="38"/>
      <c r="M200" s="38"/>
      <c r="N200" s="38"/>
      <c r="O200" s="37"/>
      <c r="P200" s="37"/>
      <c r="Q200" s="14"/>
      <c r="R200" s="39"/>
    </row>
    <row r="201" ht="15.0" customHeight="1">
      <c r="A201" s="29"/>
      <c r="B201" s="29"/>
      <c r="C201" s="30"/>
      <c r="D201" s="31"/>
      <c r="E201" s="31"/>
      <c r="F201" s="31"/>
      <c r="G201" s="32"/>
      <c r="H201" s="32"/>
      <c r="I201" s="31"/>
      <c r="J201" s="31"/>
      <c r="K201" s="31"/>
      <c r="L201" s="33"/>
      <c r="M201" s="33"/>
      <c r="N201" s="33"/>
      <c r="O201" s="32"/>
      <c r="P201" s="32"/>
      <c r="Q201" s="31"/>
      <c r="R201" s="34"/>
    </row>
    <row r="202" ht="15.0" customHeight="1">
      <c r="A202" s="29"/>
      <c r="B202" s="161" t="s">
        <v>376</v>
      </c>
      <c r="C202" s="162">
        <v>100.0</v>
      </c>
      <c r="D202" s="51" t="s">
        <v>38</v>
      </c>
      <c r="E202" s="31"/>
      <c r="F202" s="31"/>
      <c r="G202" s="32"/>
      <c r="H202" s="32"/>
      <c r="I202" s="31"/>
      <c r="J202" s="55" t="s">
        <v>108</v>
      </c>
      <c r="K202" s="31"/>
      <c r="L202" s="33"/>
      <c r="M202" s="33"/>
      <c r="N202" s="33"/>
      <c r="O202" s="32"/>
      <c r="P202" s="32"/>
      <c r="Q202" s="31"/>
      <c r="R202" s="82" t="s">
        <v>377</v>
      </c>
    </row>
    <row r="203" ht="15.0" customHeight="1">
      <c r="A203" s="29"/>
      <c r="B203" s="161" t="s">
        <v>378</v>
      </c>
      <c r="C203" s="162">
        <v>0.0</v>
      </c>
      <c r="D203" s="51" t="s">
        <v>38</v>
      </c>
      <c r="E203" s="31"/>
      <c r="F203" s="31"/>
      <c r="G203" s="32"/>
      <c r="H203" s="32"/>
      <c r="I203" s="31"/>
      <c r="J203" s="55" t="s">
        <v>108</v>
      </c>
      <c r="K203" s="31"/>
      <c r="L203" s="33"/>
      <c r="M203" s="33"/>
      <c r="N203" s="33"/>
      <c r="O203" s="32"/>
      <c r="P203" s="32"/>
      <c r="Q203" s="31"/>
      <c r="R203" s="82" t="s">
        <v>379</v>
      </c>
    </row>
    <row r="204" ht="15.0" customHeight="1">
      <c r="A204" s="29"/>
      <c r="B204" s="29"/>
      <c r="C204" s="30"/>
      <c r="D204" s="31"/>
      <c r="E204" s="31"/>
      <c r="F204" s="31"/>
      <c r="G204" s="32"/>
      <c r="H204" s="32"/>
      <c r="I204" s="31"/>
      <c r="J204" s="31"/>
      <c r="K204" s="31"/>
      <c r="L204" s="33"/>
      <c r="M204" s="33"/>
      <c r="N204" s="33"/>
      <c r="O204" s="32"/>
      <c r="P204" s="32"/>
      <c r="Q204" s="31"/>
      <c r="R204" s="34"/>
    </row>
    <row r="205" ht="15.0" customHeight="1">
      <c r="A205" s="40">
        <v>1601100.0</v>
      </c>
      <c r="B205" s="40" t="s">
        <v>380</v>
      </c>
      <c r="C205" s="41">
        <f>SUM(C207:C219)</f>
        <v>3999.999683</v>
      </c>
      <c r="D205" s="42"/>
      <c r="E205" s="42"/>
      <c r="F205" s="42"/>
      <c r="G205" s="43"/>
      <c r="H205" s="43"/>
      <c r="I205" s="42"/>
      <c r="J205" s="42"/>
      <c r="K205" s="42"/>
      <c r="L205" s="44"/>
      <c r="M205" s="44"/>
      <c r="N205" s="44"/>
      <c r="O205" s="43"/>
      <c r="P205" s="43"/>
      <c r="Q205" s="42"/>
      <c r="R205" s="45"/>
    </row>
    <row r="206" ht="15.0" customHeight="1">
      <c r="A206" s="46"/>
      <c r="B206" s="29" t="s">
        <v>65</v>
      </c>
      <c r="C206" s="30"/>
      <c r="D206" s="31"/>
      <c r="E206" s="31"/>
      <c r="F206" s="31"/>
      <c r="G206" s="32"/>
      <c r="H206" s="32"/>
      <c r="I206" s="31"/>
      <c r="J206" s="31"/>
      <c r="K206" s="31"/>
      <c r="L206" s="33"/>
      <c r="M206" s="33"/>
      <c r="N206" s="33"/>
      <c r="O206" s="32"/>
      <c r="P206" s="32"/>
      <c r="Q206" s="31"/>
      <c r="R206" s="34"/>
    </row>
    <row r="207" ht="150.75" customHeight="1">
      <c r="A207" s="46"/>
      <c r="B207" s="61" t="s">
        <v>381</v>
      </c>
      <c r="C207" s="48">
        <v>6.223467</v>
      </c>
      <c r="D207" s="51" t="s">
        <v>67</v>
      </c>
      <c r="E207" s="163"/>
      <c r="F207" s="163"/>
      <c r="G207" s="164"/>
      <c r="H207" s="164"/>
      <c r="I207" s="163"/>
      <c r="J207" s="50" t="s">
        <v>60</v>
      </c>
      <c r="K207" s="61" t="s">
        <v>382</v>
      </c>
      <c r="L207" s="165">
        <v>248.938684</v>
      </c>
      <c r="M207" s="165">
        <v>242.715217</v>
      </c>
      <c r="N207" s="166">
        <v>5.0</v>
      </c>
      <c r="O207" s="167">
        <v>45735.0</v>
      </c>
      <c r="P207" s="167">
        <v>46081.0</v>
      </c>
      <c r="Q207" s="168">
        <v>0.95</v>
      </c>
      <c r="R207" s="137" t="s">
        <v>383</v>
      </c>
    </row>
    <row r="208" ht="116.25" customHeight="1">
      <c r="A208" s="46"/>
      <c r="B208" s="61" t="s">
        <v>384</v>
      </c>
      <c r="C208" s="48">
        <v>510.33738</v>
      </c>
      <c r="D208" s="51"/>
      <c r="E208" s="163"/>
      <c r="F208" s="163"/>
      <c r="G208" s="164"/>
      <c r="H208" s="164"/>
      <c r="I208" s="163"/>
      <c r="J208" s="50" t="s">
        <v>60</v>
      </c>
      <c r="K208" s="61" t="s">
        <v>385</v>
      </c>
      <c r="L208" s="165">
        <v>734.4162</v>
      </c>
      <c r="M208" s="165">
        <v>224.07882</v>
      </c>
      <c r="N208" s="166">
        <v>13.0</v>
      </c>
      <c r="O208" s="167">
        <v>45985.0</v>
      </c>
      <c r="P208" s="167">
        <v>46374.0</v>
      </c>
      <c r="Q208" s="169">
        <v>0.01</v>
      </c>
      <c r="R208" s="137" t="s">
        <v>386</v>
      </c>
    </row>
    <row r="209" ht="114.75" customHeight="1">
      <c r="A209" s="46"/>
      <c r="B209" s="61" t="s">
        <v>387</v>
      </c>
      <c r="C209" s="48">
        <v>766.152206</v>
      </c>
      <c r="D209" s="51"/>
      <c r="E209" s="163"/>
      <c r="F209" s="163"/>
      <c r="G209" s="164"/>
      <c r="H209" s="164"/>
      <c r="I209" s="163"/>
      <c r="J209" s="50" t="s">
        <v>60</v>
      </c>
      <c r="K209" s="61" t="s">
        <v>385</v>
      </c>
      <c r="L209" s="165">
        <v>1044.17607</v>
      </c>
      <c r="M209" s="165">
        <v>278.023864</v>
      </c>
      <c r="N209" s="166">
        <v>30.0</v>
      </c>
      <c r="O209" s="167">
        <v>45630.0</v>
      </c>
      <c r="P209" s="167">
        <v>46547.0</v>
      </c>
      <c r="Q209" s="169">
        <v>0.01</v>
      </c>
      <c r="R209" s="137" t="s">
        <v>388</v>
      </c>
    </row>
    <row r="210" ht="90.75" customHeight="1">
      <c r="A210" s="46"/>
      <c r="B210" s="61" t="s">
        <v>389</v>
      </c>
      <c r="C210" s="48">
        <v>492.74925</v>
      </c>
      <c r="D210" s="51" t="s">
        <v>59</v>
      </c>
      <c r="E210" s="163"/>
      <c r="F210" s="163"/>
      <c r="G210" s="164"/>
      <c r="H210" s="164"/>
      <c r="I210" s="163"/>
      <c r="J210" s="50" t="s">
        <v>60</v>
      </c>
      <c r="K210" s="61" t="s">
        <v>390</v>
      </c>
      <c r="L210" s="165">
        <v>985.4985</v>
      </c>
      <c r="M210" s="165">
        <v>492.74925</v>
      </c>
      <c r="N210" s="166">
        <v>10.0</v>
      </c>
      <c r="O210" s="167">
        <v>45833.0</v>
      </c>
      <c r="P210" s="167">
        <v>46142.0</v>
      </c>
      <c r="Q210" s="169">
        <v>0.5</v>
      </c>
      <c r="R210" s="137" t="s">
        <v>391</v>
      </c>
    </row>
    <row r="211" ht="69.0" customHeight="1">
      <c r="A211" s="46"/>
      <c r="B211" s="61" t="s">
        <v>392</v>
      </c>
      <c r="C211" s="48">
        <v>49.641464</v>
      </c>
      <c r="D211" s="51" t="s">
        <v>59</v>
      </c>
      <c r="E211" s="163"/>
      <c r="F211" s="163"/>
      <c r="G211" s="164"/>
      <c r="H211" s="164"/>
      <c r="I211" s="163"/>
      <c r="J211" s="50" t="s">
        <v>60</v>
      </c>
      <c r="K211" s="61" t="s">
        <v>393</v>
      </c>
      <c r="L211" s="165">
        <v>194.859315</v>
      </c>
      <c r="M211" s="165">
        <v>145.217851</v>
      </c>
      <c r="N211" s="166">
        <v>2.5</v>
      </c>
      <c r="O211" s="167">
        <v>46041.0</v>
      </c>
      <c r="P211" s="167">
        <v>46111.0</v>
      </c>
      <c r="Q211" s="169">
        <v>0.95</v>
      </c>
      <c r="R211" s="137" t="s">
        <v>394</v>
      </c>
    </row>
    <row r="212" ht="124.5" customHeight="1">
      <c r="A212" s="46"/>
      <c r="B212" s="61" t="s">
        <v>395</v>
      </c>
      <c r="C212" s="48">
        <v>18.544746</v>
      </c>
      <c r="D212" s="51" t="s">
        <v>59</v>
      </c>
      <c r="E212" s="163"/>
      <c r="F212" s="163"/>
      <c r="G212" s="164"/>
      <c r="H212" s="164"/>
      <c r="I212" s="163"/>
      <c r="J212" s="50" t="s">
        <v>60</v>
      </c>
      <c r="K212" s="61" t="s">
        <v>396</v>
      </c>
      <c r="L212" s="165">
        <v>26.492494</v>
      </c>
      <c r="M212" s="165">
        <v>7.947748</v>
      </c>
      <c r="N212" s="166">
        <v>4.0</v>
      </c>
      <c r="O212" s="167">
        <v>46041.0</v>
      </c>
      <c r="P212" s="167">
        <v>46161.0</v>
      </c>
      <c r="Q212" s="169">
        <v>0.6</v>
      </c>
      <c r="R212" s="137" t="s">
        <v>397</v>
      </c>
    </row>
    <row r="213" ht="15.0" customHeight="1">
      <c r="A213" s="46"/>
      <c r="B213" s="61"/>
      <c r="C213" s="48"/>
      <c r="D213" s="163"/>
      <c r="E213" s="163"/>
      <c r="F213" s="163"/>
      <c r="G213" s="164"/>
      <c r="H213" s="164"/>
      <c r="I213" s="163"/>
      <c r="J213" s="163"/>
      <c r="K213" s="163"/>
      <c r="L213" s="165"/>
      <c r="M213" s="165"/>
      <c r="N213" s="165"/>
      <c r="O213" s="164"/>
      <c r="P213" s="164"/>
      <c r="Q213" s="163"/>
      <c r="R213" s="34"/>
    </row>
    <row r="214" ht="15.0" customHeight="1">
      <c r="A214" s="46"/>
      <c r="B214" s="62" t="s">
        <v>106</v>
      </c>
      <c r="C214" s="48"/>
      <c r="D214" s="163"/>
      <c r="E214" s="163"/>
      <c r="F214" s="163"/>
      <c r="G214" s="164"/>
      <c r="H214" s="164"/>
      <c r="I214" s="163"/>
      <c r="J214" s="163"/>
      <c r="K214" s="163"/>
      <c r="L214" s="165"/>
      <c r="M214" s="165"/>
      <c r="N214" s="165"/>
      <c r="O214" s="164"/>
      <c r="P214" s="164"/>
      <c r="Q214" s="163"/>
      <c r="R214" s="34"/>
    </row>
    <row r="215" ht="39.0" customHeight="1">
      <c r="A215" s="46"/>
      <c r="B215" s="74" t="s">
        <v>398</v>
      </c>
      <c r="C215" s="170">
        <v>1053.881925</v>
      </c>
      <c r="D215" s="49" t="s">
        <v>399</v>
      </c>
      <c r="E215" s="163"/>
      <c r="F215" s="163"/>
      <c r="G215" s="164"/>
      <c r="H215" s="164"/>
      <c r="I215" s="163"/>
      <c r="J215" s="55" t="s">
        <v>60</v>
      </c>
      <c r="K215" s="171" t="s">
        <v>400</v>
      </c>
      <c r="L215" s="172">
        <v>1053.881925</v>
      </c>
      <c r="M215" s="165"/>
      <c r="N215" s="173">
        <v>2.5</v>
      </c>
      <c r="O215" s="167">
        <v>46041.0</v>
      </c>
      <c r="P215" s="174">
        <v>46112.0</v>
      </c>
      <c r="Q215" s="169">
        <v>1.0</v>
      </c>
      <c r="R215" s="82" t="s">
        <v>401</v>
      </c>
    </row>
    <row r="216" ht="93.0" customHeight="1">
      <c r="A216" s="46"/>
      <c r="B216" s="74" t="s">
        <v>402</v>
      </c>
      <c r="C216" s="170">
        <v>200.0</v>
      </c>
      <c r="D216" s="49" t="s">
        <v>67</v>
      </c>
      <c r="E216" s="163"/>
      <c r="F216" s="163"/>
      <c r="G216" s="164"/>
      <c r="H216" s="164"/>
      <c r="I216" s="163"/>
      <c r="J216" s="55" t="s">
        <v>60</v>
      </c>
      <c r="K216" s="175" t="s">
        <v>403</v>
      </c>
      <c r="L216" s="165"/>
      <c r="M216" s="165"/>
      <c r="N216" s="173">
        <v>5.5</v>
      </c>
      <c r="O216" s="174">
        <v>46097.0</v>
      </c>
      <c r="P216" s="174">
        <v>46265.0</v>
      </c>
      <c r="Q216" s="169">
        <v>0.44</v>
      </c>
      <c r="R216" s="137" t="s">
        <v>404</v>
      </c>
    </row>
    <row r="217" ht="42.0" customHeight="1">
      <c r="A217" s="46"/>
      <c r="B217" s="74" t="s">
        <v>405</v>
      </c>
      <c r="C217" s="170">
        <v>802.469245</v>
      </c>
      <c r="D217" s="49" t="s">
        <v>399</v>
      </c>
      <c r="E217" s="163"/>
      <c r="F217" s="163"/>
      <c r="G217" s="164"/>
      <c r="H217" s="164"/>
      <c r="I217" s="163"/>
      <c r="J217" s="55" t="s">
        <v>60</v>
      </c>
      <c r="K217" s="175" t="s">
        <v>400</v>
      </c>
      <c r="L217" s="165"/>
      <c r="M217" s="165"/>
      <c r="N217" s="176">
        <v>4.0</v>
      </c>
      <c r="O217" s="174">
        <v>46123.0</v>
      </c>
      <c r="P217" s="174">
        <v>46245.0</v>
      </c>
      <c r="Q217" s="169">
        <v>0.01</v>
      </c>
      <c r="R217" s="137" t="s">
        <v>406</v>
      </c>
    </row>
    <row r="218" ht="24.0" customHeight="1">
      <c r="A218" s="46"/>
      <c r="B218" s="177" t="s">
        <v>376</v>
      </c>
      <c r="C218" s="178">
        <v>100.0</v>
      </c>
      <c r="D218" s="51" t="s">
        <v>38</v>
      </c>
      <c r="E218" s="31"/>
      <c r="F218" s="31"/>
      <c r="G218" s="32"/>
      <c r="H218" s="32"/>
      <c r="I218" s="31"/>
      <c r="J218" s="55" t="s">
        <v>108</v>
      </c>
      <c r="K218" s="31"/>
      <c r="L218" s="33"/>
      <c r="M218" s="33"/>
      <c r="N218" s="33"/>
      <c r="O218" s="32"/>
      <c r="P218" s="32"/>
      <c r="Q218" s="31"/>
      <c r="R218" s="73" t="s">
        <v>407</v>
      </c>
    </row>
    <row r="219" ht="26.25" customHeight="1">
      <c r="A219" s="46"/>
      <c r="B219" s="177" t="s">
        <v>378</v>
      </c>
      <c r="C219" s="15"/>
      <c r="D219" s="51" t="s">
        <v>38</v>
      </c>
      <c r="E219" s="31"/>
      <c r="F219" s="31"/>
      <c r="G219" s="32"/>
      <c r="H219" s="32"/>
      <c r="I219" s="31"/>
      <c r="J219" s="55" t="s">
        <v>108</v>
      </c>
      <c r="K219" s="31"/>
      <c r="L219" s="33"/>
      <c r="M219" s="33"/>
      <c r="N219" s="33"/>
      <c r="O219" s="32"/>
      <c r="P219" s="32"/>
      <c r="Q219" s="31"/>
      <c r="R219" s="73" t="s">
        <v>407</v>
      </c>
    </row>
    <row r="220" ht="15.0" customHeight="1">
      <c r="A220" s="46"/>
      <c r="B220" s="46"/>
      <c r="C220" s="30"/>
      <c r="D220" s="31"/>
      <c r="E220" s="31"/>
      <c r="F220" s="31"/>
      <c r="G220" s="32"/>
      <c r="H220" s="32"/>
      <c r="I220" s="31"/>
      <c r="J220" s="31"/>
      <c r="K220" s="31"/>
      <c r="L220" s="33"/>
      <c r="M220" s="33"/>
      <c r="N220" s="33"/>
      <c r="O220" s="32"/>
      <c r="P220" s="32"/>
      <c r="Q220" s="31"/>
      <c r="R220" s="34"/>
    </row>
    <row r="221" ht="15.0" customHeight="1">
      <c r="A221" s="40">
        <v>1601500.0</v>
      </c>
      <c r="B221" s="40" t="s">
        <v>408</v>
      </c>
      <c r="C221" s="41">
        <f>SUM(C222:C223)</f>
        <v>505.586</v>
      </c>
      <c r="D221" s="42"/>
      <c r="E221" s="42"/>
      <c r="F221" s="42"/>
      <c r="G221" s="43"/>
      <c r="H221" s="43"/>
      <c r="I221" s="42"/>
      <c r="J221" s="42"/>
      <c r="K221" s="42"/>
      <c r="L221" s="44"/>
      <c r="M221" s="44"/>
      <c r="N221" s="44"/>
      <c r="O221" s="43"/>
      <c r="P221" s="43"/>
      <c r="Q221" s="42"/>
      <c r="R221" s="45"/>
    </row>
    <row r="222" ht="28.5" customHeight="1">
      <c r="A222" s="179"/>
      <c r="B222" s="180" t="s">
        <v>409</v>
      </c>
      <c r="C222" s="181">
        <v>500.0</v>
      </c>
      <c r="D222" s="182" t="s">
        <v>38</v>
      </c>
      <c r="E222" s="147"/>
      <c r="F222" s="183"/>
      <c r="G222" s="32"/>
      <c r="H222" s="32"/>
      <c r="I222" s="183"/>
      <c r="J222" s="184" t="s">
        <v>29</v>
      </c>
      <c r="K222" s="183"/>
      <c r="L222" s="33"/>
      <c r="M222" s="33"/>
      <c r="N222" s="33"/>
      <c r="O222" s="32"/>
      <c r="P222" s="32"/>
      <c r="Q222" s="183"/>
      <c r="R222" s="73" t="s">
        <v>410</v>
      </c>
    </row>
    <row r="223" ht="38.25" customHeight="1">
      <c r="A223" s="179"/>
      <c r="B223" s="180" t="s">
        <v>411</v>
      </c>
      <c r="C223" s="181">
        <v>5.586</v>
      </c>
      <c r="D223" s="185" t="s">
        <v>67</v>
      </c>
      <c r="E223" s="147" t="s">
        <v>412</v>
      </c>
      <c r="F223" s="147" t="s">
        <v>412</v>
      </c>
      <c r="G223" s="147" t="s">
        <v>412</v>
      </c>
      <c r="H223" s="147" t="s">
        <v>413</v>
      </c>
      <c r="I223" s="147" t="s">
        <v>414</v>
      </c>
      <c r="J223" s="186" t="s">
        <v>60</v>
      </c>
      <c r="K223" s="147" t="s">
        <v>415</v>
      </c>
      <c r="L223" s="187">
        <v>1.1172E7</v>
      </c>
      <c r="M223" s="188">
        <f>0.5*L223</f>
        <v>5586000</v>
      </c>
      <c r="N223" s="187">
        <v>6.0</v>
      </c>
      <c r="O223" s="189">
        <v>45413.0</v>
      </c>
      <c r="P223" s="189">
        <v>45419.0</v>
      </c>
      <c r="Q223" s="138">
        <v>0.95</v>
      </c>
      <c r="R223" s="73" t="s">
        <v>416</v>
      </c>
    </row>
    <row r="224" ht="15.0" customHeight="1">
      <c r="A224" s="46"/>
      <c r="B224" s="46"/>
      <c r="C224" s="30"/>
      <c r="D224" s="31"/>
      <c r="E224" s="31"/>
      <c r="F224" s="31"/>
      <c r="G224" s="32"/>
      <c r="H224" s="32"/>
      <c r="I224" s="31"/>
      <c r="J224" s="31"/>
      <c r="K224" s="31"/>
      <c r="L224" s="33"/>
      <c r="M224" s="33"/>
      <c r="N224" s="33"/>
      <c r="O224" s="32"/>
      <c r="P224" s="32"/>
      <c r="Q224" s="31"/>
      <c r="R224" s="34"/>
    </row>
    <row r="225" ht="15.0" customHeight="1">
      <c r="A225" s="40">
        <v>1602000.0</v>
      </c>
      <c r="B225" s="40" t="s">
        <v>417</v>
      </c>
      <c r="C225" s="41">
        <f>SUM(C226:C227)</f>
        <v>900</v>
      </c>
      <c r="D225" s="42"/>
      <c r="E225" s="42"/>
      <c r="F225" s="42"/>
      <c r="G225" s="43"/>
      <c r="H225" s="43"/>
      <c r="I225" s="42"/>
      <c r="J225" s="42"/>
      <c r="K225" s="42"/>
      <c r="L225" s="44"/>
      <c r="M225" s="44"/>
      <c r="N225" s="44"/>
      <c r="O225" s="43"/>
      <c r="P225" s="43"/>
      <c r="Q225" s="42"/>
      <c r="R225" s="45"/>
    </row>
    <row r="226" ht="36.75" customHeight="1">
      <c r="A226" s="46"/>
      <c r="B226" s="47" t="s">
        <v>418</v>
      </c>
      <c r="C226" s="48">
        <v>800.0</v>
      </c>
      <c r="D226" s="51" t="s">
        <v>38</v>
      </c>
      <c r="E226" s="31"/>
      <c r="F226" s="31"/>
      <c r="G226" s="32"/>
      <c r="H226" s="32"/>
      <c r="I226" s="31"/>
      <c r="J226" s="50" t="s">
        <v>108</v>
      </c>
      <c r="K226" s="31"/>
      <c r="L226" s="33"/>
      <c r="M226" s="33"/>
      <c r="N226" s="33"/>
      <c r="O226" s="32"/>
      <c r="P226" s="32"/>
      <c r="Q226" s="31"/>
      <c r="R226" s="73" t="s">
        <v>419</v>
      </c>
    </row>
    <row r="227">
      <c r="A227" s="46"/>
      <c r="B227" s="177" t="s">
        <v>420</v>
      </c>
      <c r="C227" s="48">
        <v>100.0</v>
      </c>
      <c r="D227" s="51" t="s">
        <v>38</v>
      </c>
      <c r="E227" s="31"/>
      <c r="F227" s="31"/>
      <c r="G227" s="32"/>
      <c r="H227" s="32"/>
      <c r="I227" s="31"/>
      <c r="J227" s="50" t="s">
        <v>29</v>
      </c>
      <c r="K227" s="31"/>
      <c r="L227" s="33"/>
      <c r="M227" s="33"/>
      <c r="N227" s="33"/>
      <c r="O227" s="32"/>
      <c r="P227" s="32"/>
      <c r="Q227" s="31"/>
      <c r="R227" s="73" t="s">
        <v>421</v>
      </c>
    </row>
    <row r="228" ht="15.0" customHeight="1">
      <c r="A228" s="46"/>
      <c r="B228" s="46"/>
      <c r="C228" s="30"/>
      <c r="D228" s="31"/>
      <c r="E228" s="31"/>
      <c r="F228" s="31"/>
      <c r="G228" s="32"/>
      <c r="H228" s="32"/>
      <c r="I228" s="31"/>
      <c r="J228" s="31"/>
      <c r="K228" s="31"/>
      <c r="L228" s="33"/>
      <c r="M228" s="33"/>
      <c r="N228" s="33"/>
      <c r="O228" s="32"/>
      <c r="P228" s="32"/>
      <c r="Q228" s="31"/>
      <c r="R228" s="34"/>
    </row>
    <row r="229" ht="15.0" customHeight="1">
      <c r="A229" s="35">
        <v>345.0</v>
      </c>
      <c r="B229" s="35" t="s">
        <v>422</v>
      </c>
      <c r="C229" s="36">
        <f>SUM(C231,C234)</f>
        <v>6475</v>
      </c>
      <c r="D229" s="14"/>
      <c r="E229" s="14"/>
      <c r="F229" s="14"/>
      <c r="G229" s="37"/>
      <c r="H229" s="37"/>
      <c r="I229" s="14"/>
      <c r="J229" s="14"/>
      <c r="K229" s="14"/>
      <c r="L229" s="38"/>
      <c r="M229" s="38"/>
      <c r="N229" s="38"/>
      <c r="O229" s="37"/>
      <c r="P229" s="37"/>
      <c r="Q229" s="14"/>
      <c r="R229" s="39"/>
    </row>
    <row r="230" ht="15.0" customHeight="1">
      <c r="A230" s="46"/>
      <c r="B230" s="46"/>
      <c r="C230" s="30"/>
      <c r="D230" s="31"/>
      <c r="E230" s="31"/>
      <c r="F230" s="31"/>
      <c r="G230" s="32"/>
      <c r="H230" s="32"/>
      <c r="I230" s="31"/>
      <c r="J230" s="31"/>
      <c r="K230" s="31"/>
      <c r="L230" s="33"/>
      <c r="M230" s="33"/>
      <c r="N230" s="33"/>
      <c r="O230" s="32"/>
      <c r="P230" s="32"/>
      <c r="Q230" s="31"/>
      <c r="R230" s="34"/>
    </row>
    <row r="231" ht="15.0" customHeight="1">
      <c r="A231" s="40">
        <v>1403900.0</v>
      </c>
      <c r="B231" s="40" t="s">
        <v>423</v>
      </c>
      <c r="C231" s="41">
        <f>+C232</f>
        <v>6255</v>
      </c>
      <c r="D231" s="42"/>
      <c r="E231" s="42"/>
      <c r="F231" s="42"/>
      <c r="G231" s="43"/>
      <c r="H231" s="43"/>
      <c r="I231" s="42"/>
      <c r="J231" s="42"/>
      <c r="K231" s="42"/>
      <c r="L231" s="44"/>
      <c r="M231" s="44"/>
      <c r="N231" s="44"/>
      <c r="O231" s="43"/>
      <c r="P231" s="43"/>
      <c r="Q231" s="42"/>
      <c r="R231" s="45"/>
    </row>
    <row r="232" ht="15.0" customHeight="1">
      <c r="A232" s="190" t="s">
        <v>424</v>
      </c>
      <c r="B232" s="47" t="s">
        <v>425</v>
      </c>
      <c r="C232" s="48">
        <v>6255.0</v>
      </c>
      <c r="D232" s="51" t="s">
        <v>38</v>
      </c>
      <c r="E232" s="31"/>
      <c r="F232" s="31"/>
      <c r="G232" s="32"/>
      <c r="H232" s="32"/>
      <c r="I232" s="31"/>
      <c r="J232" s="55" t="s">
        <v>52</v>
      </c>
      <c r="K232" s="31"/>
      <c r="L232" s="33"/>
      <c r="M232" s="33"/>
      <c r="N232" s="33"/>
      <c r="O232" s="32"/>
      <c r="P232" s="32"/>
      <c r="Q232" s="31"/>
      <c r="R232" s="58" t="s">
        <v>426</v>
      </c>
    </row>
    <row r="233" ht="15.0" customHeight="1">
      <c r="A233" s="46"/>
      <c r="B233" s="46"/>
      <c r="C233" s="30"/>
      <c r="D233" s="31"/>
      <c r="E233" s="31"/>
      <c r="F233" s="31"/>
      <c r="G233" s="32"/>
      <c r="H233" s="32"/>
      <c r="I233" s="31"/>
      <c r="J233" s="31"/>
      <c r="K233" s="31"/>
      <c r="L233" s="33"/>
      <c r="M233" s="33"/>
      <c r="N233" s="33"/>
      <c r="O233" s="32"/>
      <c r="P233" s="32"/>
      <c r="Q233" s="31"/>
      <c r="R233" s="34"/>
    </row>
    <row r="234" ht="15.0" customHeight="1">
      <c r="A234" s="40">
        <v>2607000.0</v>
      </c>
      <c r="B234" s="40" t="s">
        <v>427</v>
      </c>
      <c r="C234" s="41">
        <f>SUM(C235:C237)</f>
        <v>220</v>
      </c>
      <c r="D234" s="42"/>
      <c r="E234" s="42"/>
      <c r="F234" s="42"/>
      <c r="G234" s="43"/>
      <c r="H234" s="43"/>
      <c r="I234" s="42"/>
      <c r="J234" s="42"/>
      <c r="K234" s="42"/>
      <c r="L234" s="44"/>
      <c r="M234" s="44"/>
      <c r="N234" s="44"/>
      <c r="O234" s="43"/>
      <c r="P234" s="43"/>
      <c r="Q234" s="42"/>
      <c r="R234" s="45"/>
    </row>
    <row r="235" ht="25.5" customHeight="1">
      <c r="A235" s="46"/>
      <c r="B235" s="61" t="s">
        <v>428</v>
      </c>
      <c r="C235" s="48">
        <v>75.0</v>
      </c>
      <c r="D235" s="51" t="s">
        <v>38</v>
      </c>
      <c r="E235" s="31"/>
      <c r="F235" s="31"/>
      <c r="G235" s="32"/>
      <c r="H235" s="32"/>
      <c r="I235" s="31"/>
      <c r="J235" s="55" t="s">
        <v>108</v>
      </c>
      <c r="K235" s="31"/>
      <c r="L235" s="33"/>
      <c r="M235" s="33"/>
      <c r="N235" s="33"/>
      <c r="O235" s="32"/>
      <c r="P235" s="32"/>
      <c r="Q235" s="31"/>
      <c r="R235" s="58" t="s">
        <v>429</v>
      </c>
    </row>
    <row r="236" ht="15.0" customHeight="1">
      <c r="A236" s="46"/>
      <c r="B236" s="61" t="s">
        <v>430</v>
      </c>
      <c r="C236" s="48">
        <v>70.0</v>
      </c>
      <c r="D236" s="51" t="s">
        <v>38</v>
      </c>
      <c r="E236" s="31"/>
      <c r="F236" s="31"/>
      <c r="G236" s="32"/>
      <c r="H236" s="32"/>
      <c r="I236" s="31"/>
      <c r="J236" s="55" t="s">
        <v>108</v>
      </c>
      <c r="K236" s="31"/>
      <c r="L236" s="33"/>
      <c r="M236" s="33"/>
      <c r="N236" s="33"/>
      <c r="O236" s="32"/>
      <c r="P236" s="32"/>
      <c r="Q236" s="31"/>
      <c r="R236" s="58" t="s">
        <v>429</v>
      </c>
    </row>
    <row r="237" ht="15.0" customHeight="1">
      <c r="A237" s="46"/>
      <c r="B237" s="61" t="s">
        <v>431</v>
      </c>
      <c r="C237" s="48">
        <v>75.0</v>
      </c>
      <c r="D237" s="51" t="s">
        <v>38</v>
      </c>
      <c r="E237" s="31"/>
      <c r="F237" s="31"/>
      <c r="G237" s="32"/>
      <c r="H237" s="32"/>
      <c r="I237" s="31"/>
      <c r="J237" s="55" t="s">
        <v>108</v>
      </c>
      <c r="K237" s="31"/>
      <c r="L237" s="33"/>
      <c r="M237" s="33"/>
      <c r="N237" s="33"/>
      <c r="O237" s="32"/>
      <c r="P237" s="32"/>
      <c r="Q237" s="31"/>
      <c r="R237" s="58" t="s">
        <v>429</v>
      </c>
    </row>
    <row r="238" ht="15.0" customHeight="1">
      <c r="A238" s="191"/>
      <c r="B238" s="191"/>
      <c r="C238" s="192"/>
      <c r="D238" s="51"/>
      <c r="E238" s="31"/>
      <c r="F238" s="31"/>
      <c r="G238" s="32"/>
      <c r="H238" s="32"/>
      <c r="I238" s="31"/>
      <c r="J238" s="31"/>
      <c r="K238" s="31"/>
      <c r="L238" s="33"/>
      <c r="M238" s="33"/>
      <c r="N238" s="33"/>
      <c r="O238" s="32"/>
      <c r="P238" s="32"/>
      <c r="Q238" s="31"/>
      <c r="R238" s="34"/>
    </row>
    <row r="239" ht="15.0" customHeight="1">
      <c r="A239" s="191"/>
      <c r="B239" s="191"/>
      <c r="C239" s="192"/>
      <c r="D239" s="31"/>
      <c r="E239" s="31"/>
      <c r="F239" s="31"/>
      <c r="G239" s="32"/>
      <c r="H239" s="32"/>
      <c r="I239" s="31"/>
      <c r="J239" s="31"/>
      <c r="K239" s="31"/>
      <c r="L239" s="33"/>
      <c r="M239" s="33"/>
      <c r="N239" s="33"/>
      <c r="O239" s="32"/>
      <c r="P239" s="32"/>
      <c r="Q239" s="31"/>
      <c r="R239" s="34"/>
    </row>
    <row r="240" ht="12.75" customHeight="1">
      <c r="A240" s="193"/>
      <c r="B240" s="194"/>
      <c r="C240" s="48"/>
      <c r="D240" s="195"/>
      <c r="E240" s="196"/>
      <c r="F240" s="196"/>
      <c r="G240" s="196"/>
      <c r="H240" s="196"/>
      <c r="I240" s="196"/>
      <c r="J240" s="50"/>
      <c r="K240" s="197"/>
      <c r="L240" s="198"/>
      <c r="M240" s="198"/>
      <c r="N240" s="198"/>
      <c r="O240" s="196"/>
      <c r="P240" s="196"/>
      <c r="Q240" s="51"/>
      <c r="R240" s="199"/>
    </row>
    <row r="241" ht="12.75" customHeight="1">
      <c r="A241" s="193"/>
      <c r="B241" s="194"/>
      <c r="C241" s="48"/>
      <c r="D241" s="195"/>
      <c r="E241" s="196"/>
      <c r="F241" s="196"/>
      <c r="G241" s="196"/>
      <c r="H241" s="196"/>
      <c r="I241" s="196"/>
      <c r="J241" s="50"/>
      <c r="K241" s="197"/>
      <c r="L241" s="198"/>
      <c r="M241" s="198"/>
      <c r="N241" s="198"/>
      <c r="O241" s="196"/>
      <c r="P241" s="196"/>
      <c r="Q241" s="51"/>
      <c r="R241" s="199"/>
    </row>
    <row r="242" ht="12.75" customHeight="1">
      <c r="A242" s="193"/>
      <c r="B242" s="194"/>
      <c r="C242" s="48"/>
      <c r="D242" s="195"/>
      <c r="E242" s="196"/>
      <c r="F242" s="196"/>
      <c r="G242" s="196"/>
      <c r="H242" s="196"/>
      <c r="I242" s="196"/>
      <c r="J242" s="50"/>
      <c r="K242" s="197"/>
      <c r="L242" s="198"/>
      <c r="M242" s="198"/>
      <c r="N242" s="198"/>
      <c r="O242" s="196"/>
      <c r="P242" s="196"/>
      <c r="Q242" s="51"/>
      <c r="R242" s="199"/>
    </row>
    <row r="243" ht="12.75" customHeight="1">
      <c r="A243" s="193"/>
      <c r="B243" s="59"/>
      <c r="C243" s="48"/>
      <c r="D243" s="195"/>
      <c r="E243" s="196"/>
      <c r="F243" s="196"/>
      <c r="G243" s="196"/>
      <c r="H243" s="196"/>
      <c r="I243" s="196"/>
      <c r="J243" s="50"/>
      <c r="K243" s="197"/>
      <c r="L243" s="198"/>
      <c r="M243" s="198"/>
      <c r="N243" s="198"/>
      <c r="O243" s="196"/>
      <c r="P243" s="196"/>
      <c r="Q243" s="51"/>
      <c r="R243" s="199"/>
    </row>
    <row r="244" ht="13.5" customHeight="1">
      <c r="C244" s="200"/>
      <c r="L244" s="201"/>
      <c r="M244" s="201"/>
      <c r="N244" s="201"/>
      <c r="Q244" s="202"/>
      <c r="R244" s="203"/>
    </row>
    <row r="245" ht="13.5" customHeight="1">
      <c r="B245" s="204" t="s">
        <v>432</v>
      </c>
      <c r="C245" s="205"/>
      <c r="L245" s="201"/>
      <c r="M245" s="201"/>
      <c r="N245" s="201"/>
      <c r="Q245" s="202"/>
      <c r="R245" s="203"/>
    </row>
    <row r="246" ht="12.75" customHeight="1">
      <c r="B246" s="206" t="s">
        <v>68</v>
      </c>
      <c r="C246" s="207">
        <f t="shared" ref="C246:C251" si="1">SUMIF($J$10:$J$243,B246,$C$10:$C$243)</f>
        <v>40300.47341</v>
      </c>
      <c r="F246" s="208"/>
      <c r="L246" s="201"/>
      <c r="M246" s="201"/>
      <c r="N246" s="201"/>
      <c r="Q246" s="202"/>
      <c r="R246" s="203"/>
    </row>
    <row r="247" ht="12.75" customHeight="1">
      <c r="B247" s="209" t="s">
        <v>29</v>
      </c>
      <c r="C247" s="210">
        <f t="shared" si="1"/>
        <v>8699.830794</v>
      </c>
      <c r="F247" s="208"/>
      <c r="L247" s="201"/>
      <c r="M247" s="201"/>
      <c r="N247" s="201"/>
      <c r="Q247" s="202"/>
      <c r="R247" s="203"/>
    </row>
    <row r="248" ht="12.75" customHeight="1">
      <c r="B248" s="209" t="s">
        <v>108</v>
      </c>
      <c r="C248" s="210">
        <f t="shared" si="1"/>
        <v>2848.878</v>
      </c>
      <c r="F248" s="208"/>
      <c r="L248" s="201"/>
      <c r="M248" s="201"/>
      <c r="N248" s="201"/>
      <c r="Q248" s="202"/>
      <c r="R248" s="203"/>
    </row>
    <row r="249" ht="15.75" customHeight="1">
      <c r="B249" s="209" t="s">
        <v>40</v>
      </c>
      <c r="C249" s="210">
        <f t="shared" si="1"/>
        <v>4143.358561</v>
      </c>
      <c r="F249" s="208"/>
      <c r="K249" s="211"/>
      <c r="L249" s="201"/>
      <c r="M249" s="201"/>
      <c r="N249" s="201"/>
      <c r="Q249" s="202"/>
      <c r="R249" s="203"/>
    </row>
    <row r="250" ht="12.75" customHeight="1">
      <c r="B250" s="209" t="s">
        <v>49</v>
      </c>
      <c r="C250" s="210">
        <f t="shared" si="1"/>
        <v>80</v>
      </c>
      <c r="F250" s="208"/>
      <c r="L250" s="201"/>
      <c r="M250" s="201"/>
      <c r="N250" s="201"/>
      <c r="Q250" s="202"/>
      <c r="R250" s="203"/>
    </row>
    <row r="251" ht="12.75" customHeight="1">
      <c r="B251" s="209" t="s">
        <v>60</v>
      </c>
      <c r="C251" s="210">
        <f t="shared" si="1"/>
        <v>9975.336646</v>
      </c>
      <c r="F251" s="208"/>
      <c r="L251" s="201"/>
      <c r="M251" s="201"/>
      <c r="N251" s="201"/>
      <c r="Q251" s="202"/>
      <c r="R251" s="203"/>
    </row>
    <row r="252" ht="13.5" customHeight="1">
      <c r="B252" s="212"/>
      <c r="C252" s="213"/>
      <c r="F252" s="208"/>
      <c r="L252" s="201"/>
      <c r="M252" s="201"/>
      <c r="N252" s="201"/>
      <c r="Q252" s="202"/>
      <c r="R252" s="203"/>
    </row>
    <row r="253" ht="12.75" customHeight="1">
      <c r="C253" s="200"/>
      <c r="L253" s="201"/>
      <c r="M253" s="201"/>
      <c r="N253" s="201"/>
      <c r="Q253" s="202"/>
      <c r="R253" s="203"/>
    </row>
    <row r="254" ht="12.75" customHeight="1">
      <c r="C254" s="200"/>
      <c r="L254" s="201"/>
      <c r="M254" s="201"/>
      <c r="N254" s="201"/>
      <c r="Q254" s="202"/>
      <c r="R254" s="203"/>
    </row>
    <row r="255" ht="12.75" customHeight="1">
      <c r="C255" s="200"/>
      <c r="L255" s="201"/>
      <c r="M255" s="201"/>
      <c r="N255" s="201"/>
      <c r="Q255" s="202"/>
      <c r="R255" s="203"/>
    </row>
    <row r="256" ht="12.75" customHeight="1">
      <c r="C256" s="200"/>
      <c r="L256" s="201"/>
      <c r="M256" s="201"/>
      <c r="N256" s="201"/>
      <c r="Q256" s="202"/>
      <c r="R256" s="203"/>
    </row>
    <row r="257" ht="12.75" customHeight="1">
      <c r="C257" s="200"/>
      <c r="L257" s="201"/>
      <c r="M257" s="201"/>
      <c r="N257" s="201"/>
      <c r="Q257" s="202"/>
      <c r="R257" s="203"/>
    </row>
    <row r="258" ht="12.75" customHeight="1">
      <c r="C258" s="200"/>
      <c r="L258" s="201"/>
      <c r="M258" s="201"/>
      <c r="N258" s="201"/>
      <c r="Q258" s="202"/>
      <c r="R258" s="203"/>
    </row>
    <row r="259" ht="12.75" customHeight="1">
      <c r="C259" s="200"/>
      <c r="L259" s="201"/>
      <c r="M259" s="201"/>
      <c r="N259" s="201"/>
      <c r="Q259" s="202"/>
      <c r="R259" s="203"/>
    </row>
    <row r="260" ht="12.75" customHeight="1">
      <c r="C260" s="200"/>
      <c r="L260" s="201"/>
      <c r="M260" s="201"/>
      <c r="N260" s="201"/>
      <c r="Q260" s="202"/>
      <c r="R260" s="203"/>
    </row>
    <row r="261" ht="12.75" customHeight="1">
      <c r="C261" s="200"/>
      <c r="L261" s="201"/>
      <c r="M261" s="201"/>
      <c r="N261" s="201"/>
      <c r="Q261" s="202"/>
      <c r="R261" s="203"/>
    </row>
    <row r="262" ht="12.75" customHeight="1">
      <c r="C262" s="200"/>
      <c r="L262" s="201"/>
      <c r="M262" s="201"/>
      <c r="N262" s="201"/>
      <c r="Q262" s="202"/>
      <c r="R262" s="203"/>
    </row>
    <row r="263" ht="12.75" customHeight="1">
      <c r="C263" s="200"/>
      <c r="L263" s="201"/>
      <c r="M263" s="201"/>
      <c r="N263" s="201"/>
      <c r="Q263" s="202"/>
      <c r="R263" s="203"/>
    </row>
    <row r="264" ht="12.75" customHeight="1">
      <c r="C264" s="200"/>
      <c r="L264" s="201"/>
      <c r="M264" s="201"/>
      <c r="N264" s="201"/>
      <c r="Q264" s="202"/>
      <c r="R264" s="203"/>
    </row>
    <row r="265" ht="12.75" customHeight="1">
      <c r="C265" s="200"/>
      <c r="L265" s="201"/>
      <c r="M265" s="201"/>
      <c r="N265" s="201"/>
      <c r="Q265" s="202"/>
      <c r="R265" s="203"/>
    </row>
    <row r="266" ht="12.75" customHeight="1">
      <c r="C266" s="200"/>
      <c r="L266" s="201"/>
      <c r="M266" s="201"/>
      <c r="N266" s="201"/>
      <c r="Q266" s="202"/>
      <c r="R266" s="203"/>
    </row>
    <row r="267" ht="12.75" customHeight="1">
      <c r="C267" s="200"/>
      <c r="L267" s="201"/>
      <c r="M267" s="201"/>
      <c r="N267" s="201"/>
      <c r="Q267" s="202"/>
      <c r="R267" s="203"/>
    </row>
    <row r="268" ht="12.75" customHeight="1">
      <c r="C268" s="200"/>
      <c r="L268" s="201"/>
      <c r="M268" s="201"/>
      <c r="N268" s="201"/>
      <c r="Q268" s="202"/>
      <c r="R268" s="203"/>
    </row>
    <row r="269" ht="12.75" customHeight="1">
      <c r="C269" s="200"/>
      <c r="L269" s="201"/>
      <c r="M269" s="201"/>
      <c r="N269" s="201"/>
      <c r="Q269" s="202"/>
      <c r="R269" s="203"/>
    </row>
    <row r="270" ht="12.75" customHeight="1">
      <c r="C270" s="200"/>
      <c r="L270" s="201"/>
      <c r="M270" s="201"/>
      <c r="N270" s="201"/>
      <c r="Q270" s="202"/>
      <c r="R270" s="203"/>
    </row>
    <row r="271" ht="12.75" customHeight="1">
      <c r="C271" s="200"/>
      <c r="L271" s="201"/>
      <c r="M271" s="201"/>
      <c r="N271" s="201"/>
      <c r="Q271" s="202"/>
      <c r="R271" s="203"/>
    </row>
    <row r="272" ht="12.75" customHeight="1">
      <c r="C272" s="200"/>
      <c r="L272" s="201"/>
      <c r="M272" s="201"/>
      <c r="N272" s="201"/>
      <c r="Q272" s="202"/>
      <c r="R272" s="203"/>
    </row>
    <row r="273" ht="12.75" customHeight="1">
      <c r="C273" s="200"/>
      <c r="L273" s="201"/>
      <c r="M273" s="201"/>
      <c r="N273" s="201"/>
      <c r="Q273" s="202"/>
      <c r="R273" s="203"/>
    </row>
    <row r="274" ht="12.75" customHeight="1">
      <c r="C274" s="200"/>
      <c r="L274" s="201"/>
      <c r="M274" s="201"/>
      <c r="N274" s="201"/>
      <c r="Q274" s="202"/>
      <c r="R274" s="203"/>
    </row>
    <row r="275" ht="12.75" customHeight="1">
      <c r="C275" s="200"/>
      <c r="L275" s="201"/>
      <c r="M275" s="201"/>
      <c r="N275" s="201"/>
      <c r="Q275" s="202"/>
      <c r="R275" s="203"/>
    </row>
    <row r="276" ht="12.75" customHeight="1">
      <c r="C276" s="200"/>
      <c r="L276" s="201"/>
      <c r="M276" s="201"/>
      <c r="N276" s="201"/>
      <c r="Q276" s="202"/>
      <c r="R276" s="203"/>
    </row>
    <row r="277" ht="12.75" customHeight="1">
      <c r="C277" s="200"/>
      <c r="L277" s="201"/>
      <c r="M277" s="201"/>
      <c r="N277" s="201"/>
      <c r="Q277" s="202"/>
      <c r="R277" s="203"/>
    </row>
    <row r="278" ht="12.75" customHeight="1">
      <c r="C278" s="200"/>
      <c r="L278" s="201"/>
      <c r="M278" s="201"/>
      <c r="N278" s="201"/>
      <c r="Q278" s="202"/>
      <c r="R278" s="203"/>
    </row>
    <row r="279" ht="12.75" customHeight="1">
      <c r="C279" s="200"/>
      <c r="L279" s="201"/>
      <c r="M279" s="201"/>
      <c r="N279" s="201"/>
      <c r="Q279" s="202"/>
      <c r="R279" s="203"/>
    </row>
    <row r="280" ht="12.75" customHeight="1">
      <c r="C280" s="200"/>
      <c r="L280" s="201"/>
      <c r="M280" s="201"/>
      <c r="N280" s="201"/>
      <c r="Q280" s="202"/>
      <c r="R280" s="203"/>
    </row>
    <row r="281" ht="12.75" customHeight="1">
      <c r="C281" s="200"/>
      <c r="L281" s="201"/>
      <c r="M281" s="201"/>
      <c r="N281" s="201"/>
      <c r="Q281" s="202"/>
      <c r="R281" s="203"/>
    </row>
    <row r="282" ht="12.75" customHeight="1">
      <c r="C282" s="200"/>
      <c r="L282" s="201"/>
      <c r="M282" s="201"/>
      <c r="N282" s="201"/>
      <c r="Q282" s="202"/>
      <c r="R282" s="203"/>
    </row>
    <row r="283" ht="12.75" customHeight="1">
      <c r="C283" s="200"/>
      <c r="L283" s="201"/>
      <c r="M283" s="201"/>
      <c r="N283" s="201"/>
      <c r="Q283" s="202"/>
      <c r="R283" s="203"/>
    </row>
    <row r="284" ht="12.75" customHeight="1">
      <c r="C284" s="200"/>
      <c r="L284" s="201"/>
      <c r="M284" s="201"/>
      <c r="N284" s="201"/>
      <c r="Q284" s="202"/>
      <c r="R284" s="203"/>
    </row>
    <row r="285" ht="12.75" customHeight="1">
      <c r="C285" s="200"/>
      <c r="L285" s="201"/>
      <c r="M285" s="201"/>
      <c r="N285" s="201"/>
      <c r="Q285" s="202"/>
      <c r="R285" s="203"/>
    </row>
    <row r="286" ht="12.75" customHeight="1">
      <c r="C286" s="200"/>
      <c r="L286" s="201"/>
      <c r="M286" s="201"/>
      <c r="N286" s="201"/>
      <c r="Q286" s="202"/>
      <c r="R286" s="203"/>
    </row>
    <row r="287" ht="12.75" customHeight="1">
      <c r="C287" s="200"/>
      <c r="L287" s="201"/>
      <c r="M287" s="201"/>
      <c r="N287" s="201"/>
      <c r="Q287" s="202"/>
      <c r="R287" s="203"/>
    </row>
    <row r="288" ht="12.75" customHeight="1">
      <c r="C288" s="200"/>
      <c r="L288" s="201"/>
      <c r="M288" s="201"/>
      <c r="N288" s="201"/>
      <c r="Q288" s="202"/>
      <c r="R288" s="203"/>
    </row>
    <row r="289" ht="12.75" customHeight="1">
      <c r="C289" s="200"/>
      <c r="L289" s="201"/>
      <c r="M289" s="201"/>
      <c r="N289" s="201"/>
      <c r="Q289" s="202"/>
      <c r="R289" s="203"/>
    </row>
    <row r="290" ht="12.75" customHeight="1">
      <c r="C290" s="200"/>
      <c r="L290" s="201"/>
      <c r="M290" s="201"/>
      <c r="N290" s="201"/>
      <c r="Q290" s="202"/>
      <c r="R290" s="203"/>
    </row>
    <row r="291" ht="12.75" customHeight="1">
      <c r="C291" s="200"/>
      <c r="L291" s="201"/>
      <c r="M291" s="201"/>
      <c r="N291" s="201"/>
      <c r="Q291" s="202"/>
      <c r="R291" s="203"/>
    </row>
    <row r="292" ht="12.75" customHeight="1">
      <c r="C292" s="200"/>
      <c r="L292" s="201"/>
      <c r="M292" s="201"/>
      <c r="N292" s="201"/>
      <c r="Q292" s="202"/>
      <c r="R292" s="203"/>
    </row>
    <row r="293" ht="12.75" customHeight="1">
      <c r="C293" s="200"/>
      <c r="L293" s="201"/>
      <c r="M293" s="201"/>
      <c r="N293" s="201"/>
      <c r="Q293" s="202"/>
      <c r="R293" s="203"/>
    </row>
    <row r="294" ht="12.75" customHeight="1">
      <c r="C294" s="200"/>
      <c r="L294" s="201"/>
      <c r="M294" s="201"/>
      <c r="N294" s="201"/>
      <c r="Q294" s="202"/>
      <c r="R294" s="203"/>
    </row>
    <row r="295" ht="12.75" customHeight="1">
      <c r="C295" s="200"/>
      <c r="L295" s="201"/>
      <c r="M295" s="201"/>
      <c r="N295" s="201"/>
      <c r="Q295" s="202"/>
      <c r="R295" s="203"/>
    </row>
    <row r="296" ht="12.75" customHeight="1">
      <c r="C296" s="200"/>
      <c r="L296" s="201"/>
      <c r="M296" s="201"/>
      <c r="N296" s="201"/>
      <c r="Q296" s="202"/>
      <c r="R296" s="203"/>
    </row>
    <row r="297" ht="12.75" customHeight="1">
      <c r="C297" s="200"/>
      <c r="L297" s="201"/>
      <c r="M297" s="201"/>
      <c r="N297" s="201"/>
      <c r="Q297" s="202"/>
      <c r="R297" s="203"/>
    </row>
    <row r="298" ht="12.75" customHeight="1">
      <c r="C298" s="200"/>
      <c r="L298" s="201"/>
      <c r="M298" s="201"/>
      <c r="N298" s="201"/>
      <c r="Q298" s="202"/>
      <c r="R298" s="203"/>
    </row>
    <row r="299" ht="12.75" customHeight="1">
      <c r="C299" s="200"/>
      <c r="L299" s="201"/>
      <c r="M299" s="201"/>
      <c r="N299" s="201"/>
      <c r="Q299" s="202"/>
      <c r="R299" s="203"/>
    </row>
    <row r="300" ht="12.75" customHeight="1">
      <c r="C300" s="200"/>
      <c r="L300" s="201"/>
      <c r="M300" s="201"/>
      <c r="N300" s="201"/>
      <c r="Q300" s="202"/>
      <c r="R300" s="203"/>
    </row>
    <row r="301" ht="12.75" customHeight="1">
      <c r="C301" s="200"/>
      <c r="L301" s="201"/>
      <c r="M301" s="201"/>
      <c r="N301" s="201"/>
      <c r="Q301" s="202"/>
      <c r="R301" s="203"/>
    </row>
    <row r="302" ht="12.75" customHeight="1">
      <c r="C302" s="200"/>
      <c r="L302" s="201"/>
      <c r="M302" s="201"/>
      <c r="N302" s="201"/>
      <c r="Q302" s="202"/>
      <c r="R302" s="203"/>
    </row>
    <row r="303" ht="12.75" customHeight="1">
      <c r="C303" s="200"/>
      <c r="L303" s="201"/>
      <c r="M303" s="201"/>
      <c r="N303" s="201"/>
      <c r="Q303" s="202"/>
      <c r="R303" s="203"/>
    </row>
    <row r="304" ht="12.75" customHeight="1">
      <c r="C304" s="200"/>
      <c r="L304" s="201"/>
      <c r="M304" s="201"/>
      <c r="N304" s="201"/>
      <c r="Q304" s="202"/>
      <c r="R304" s="203"/>
    </row>
    <row r="305" ht="12.75" customHeight="1">
      <c r="C305" s="200"/>
      <c r="L305" s="201"/>
      <c r="M305" s="201"/>
      <c r="N305" s="201"/>
      <c r="Q305" s="202"/>
      <c r="R305" s="203"/>
    </row>
    <row r="306" ht="12.75" customHeight="1">
      <c r="C306" s="200"/>
      <c r="L306" s="201"/>
      <c r="M306" s="201"/>
      <c r="N306" s="201"/>
      <c r="Q306" s="202"/>
      <c r="R306" s="203"/>
    </row>
    <row r="307" ht="12.75" customHeight="1">
      <c r="C307" s="200"/>
      <c r="L307" s="201"/>
      <c r="M307" s="201"/>
      <c r="N307" s="201"/>
      <c r="Q307" s="202"/>
      <c r="R307" s="203"/>
    </row>
    <row r="308" ht="12.75" customHeight="1">
      <c r="C308" s="200"/>
      <c r="L308" s="201"/>
      <c r="M308" s="201"/>
      <c r="N308" s="201"/>
      <c r="Q308" s="202"/>
      <c r="R308" s="203"/>
    </row>
    <row r="309" ht="12.75" customHeight="1">
      <c r="C309" s="200"/>
      <c r="L309" s="201"/>
      <c r="M309" s="201"/>
      <c r="N309" s="201"/>
      <c r="Q309" s="202"/>
      <c r="R309" s="203"/>
    </row>
    <row r="310" ht="12.75" customHeight="1">
      <c r="C310" s="200"/>
      <c r="L310" s="201"/>
      <c r="M310" s="201"/>
      <c r="N310" s="201"/>
      <c r="Q310" s="202"/>
      <c r="R310" s="203"/>
    </row>
    <row r="311" ht="12.75" customHeight="1">
      <c r="C311" s="200"/>
      <c r="L311" s="201"/>
      <c r="M311" s="201"/>
      <c r="N311" s="201"/>
      <c r="Q311" s="202"/>
      <c r="R311" s="203"/>
    </row>
    <row r="312" ht="12.75" customHeight="1">
      <c r="C312" s="200"/>
      <c r="L312" s="201"/>
      <c r="M312" s="201"/>
      <c r="N312" s="201"/>
      <c r="Q312" s="202"/>
      <c r="R312" s="203"/>
    </row>
    <row r="313" ht="12.75" customHeight="1">
      <c r="C313" s="200"/>
      <c r="L313" s="201"/>
      <c r="M313" s="201"/>
      <c r="N313" s="201"/>
      <c r="Q313" s="202"/>
      <c r="R313" s="203"/>
    </row>
    <row r="314" ht="12.75" customHeight="1">
      <c r="C314" s="200"/>
      <c r="L314" s="201"/>
      <c r="M314" s="201"/>
      <c r="N314" s="201"/>
      <c r="Q314" s="202"/>
      <c r="R314" s="203"/>
    </row>
    <row r="315" ht="12.75" customHeight="1">
      <c r="C315" s="200"/>
      <c r="L315" s="201"/>
      <c r="M315" s="201"/>
      <c r="N315" s="201"/>
      <c r="Q315" s="202"/>
      <c r="R315" s="203"/>
    </row>
    <row r="316" ht="12.75" customHeight="1">
      <c r="C316" s="200"/>
      <c r="L316" s="201"/>
      <c r="M316" s="201"/>
      <c r="N316" s="201"/>
      <c r="Q316" s="202"/>
      <c r="R316" s="203"/>
    </row>
    <row r="317" ht="12.75" customHeight="1">
      <c r="C317" s="200"/>
      <c r="L317" s="201"/>
      <c r="M317" s="201"/>
      <c r="N317" s="201"/>
      <c r="Q317" s="202"/>
      <c r="R317" s="203"/>
    </row>
    <row r="318" ht="12.75" customHeight="1">
      <c r="C318" s="200"/>
      <c r="L318" s="201"/>
      <c r="M318" s="201"/>
      <c r="N318" s="201"/>
      <c r="Q318" s="202"/>
      <c r="R318" s="203"/>
    </row>
    <row r="319" ht="12.75" customHeight="1">
      <c r="C319" s="200"/>
      <c r="L319" s="201"/>
      <c r="M319" s="201"/>
      <c r="N319" s="201"/>
      <c r="Q319" s="202"/>
      <c r="R319" s="203"/>
    </row>
    <row r="320" ht="12.75" customHeight="1">
      <c r="C320" s="200"/>
      <c r="L320" s="201"/>
      <c r="M320" s="201"/>
      <c r="N320" s="201"/>
      <c r="Q320" s="202"/>
      <c r="R320" s="203"/>
    </row>
    <row r="321" ht="12.75" customHeight="1">
      <c r="C321" s="200"/>
      <c r="L321" s="201"/>
      <c r="M321" s="201"/>
      <c r="N321" s="201"/>
      <c r="Q321" s="202"/>
      <c r="R321" s="203"/>
    </row>
    <row r="322" ht="12.75" customHeight="1">
      <c r="C322" s="200"/>
      <c r="L322" s="201"/>
      <c r="M322" s="201"/>
      <c r="N322" s="201"/>
      <c r="Q322" s="202"/>
      <c r="R322" s="203"/>
    </row>
    <row r="323" ht="12.75" customHeight="1">
      <c r="C323" s="200"/>
      <c r="L323" s="201"/>
      <c r="M323" s="201"/>
      <c r="N323" s="201"/>
      <c r="Q323" s="202"/>
      <c r="R323" s="203"/>
    </row>
    <row r="324" ht="12.75" customHeight="1">
      <c r="C324" s="200"/>
      <c r="L324" s="201"/>
      <c r="M324" s="201"/>
      <c r="N324" s="201"/>
      <c r="Q324" s="202"/>
      <c r="R324" s="203"/>
    </row>
    <row r="325" ht="12.75" customHeight="1">
      <c r="C325" s="200"/>
      <c r="L325" s="201"/>
      <c r="M325" s="201"/>
      <c r="N325" s="201"/>
      <c r="Q325" s="202"/>
      <c r="R325" s="203"/>
    </row>
    <row r="326" ht="12.75" customHeight="1">
      <c r="C326" s="200"/>
      <c r="L326" s="201"/>
      <c r="M326" s="201"/>
      <c r="N326" s="201"/>
      <c r="Q326" s="202"/>
      <c r="R326" s="203"/>
    </row>
    <row r="327" ht="12.75" customHeight="1">
      <c r="C327" s="200"/>
      <c r="L327" s="201"/>
      <c r="M327" s="201"/>
      <c r="N327" s="201"/>
      <c r="Q327" s="202"/>
      <c r="R327" s="203"/>
    </row>
    <row r="328" ht="12.75" customHeight="1">
      <c r="C328" s="200"/>
      <c r="L328" s="201"/>
      <c r="M328" s="201"/>
      <c r="N328" s="201"/>
      <c r="Q328" s="202"/>
      <c r="R328" s="203"/>
    </row>
    <row r="329" ht="12.75" customHeight="1">
      <c r="C329" s="200"/>
      <c r="L329" s="201"/>
      <c r="M329" s="201"/>
      <c r="N329" s="201"/>
      <c r="Q329" s="202"/>
      <c r="R329" s="203"/>
    </row>
    <row r="330" ht="12.75" customHeight="1">
      <c r="C330" s="200"/>
      <c r="L330" s="201"/>
      <c r="M330" s="201"/>
      <c r="N330" s="201"/>
      <c r="Q330" s="202"/>
      <c r="R330" s="203"/>
    </row>
    <row r="331" ht="12.75" customHeight="1">
      <c r="C331" s="200"/>
      <c r="L331" s="201"/>
      <c r="M331" s="201"/>
      <c r="N331" s="201"/>
      <c r="Q331" s="202"/>
      <c r="R331" s="203"/>
    </row>
    <row r="332" ht="12.75" customHeight="1">
      <c r="C332" s="200"/>
      <c r="L332" s="201"/>
      <c r="M332" s="201"/>
      <c r="N332" s="201"/>
      <c r="Q332" s="202"/>
      <c r="R332" s="203"/>
    </row>
    <row r="333" ht="12.75" customHeight="1">
      <c r="C333" s="200"/>
      <c r="L333" s="201"/>
      <c r="M333" s="201"/>
      <c r="N333" s="201"/>
      <c r="Q333" s="202"/>
      <c r="R333" s="203"/>
    </row>
    <row r="334" ht="12.75" customHeight="1">
      <c r="C334" s="200"/>
      <c r="L334" s="201"/>
      <c r="M334" s="201"/>
      <c r="N334" s="201"/>
      <c r="Q334" s="202"/>
      <c r="R334" s="203"/>
    </row>
    <row r="335" ht="12.75" customHeight="1">
      <c r="C335" s="200"/>
      <c r="L335" s="201"/>
      <c r="M335" s="201"/>
      <c r="N335" s="201"/>
      <c r="Q335" s="202"/>
      <c r="R335" s="203"/>
    </row>
    <row r="336" ht="12.75" customHeight="1">
      <c r="C336" s="200"/>
      <c r="L336" s="201"/>
      <c r="M336" s="201"/>
      <c r="N336" s="201"/>
      <c r="Q336" s="202"/>
      <c r="R336" s="203"/>
    </row>
    <row r="337" ht="12.75" customHeight="1">
      <c r="C337" s="200"/>
      <c r="L337" s="201"/>
      <c r="M337" s="201"/>
      <c r="N337" s="201"/>
      <c r="Q337" s="202"/>
      <c r="R337" s="203"/>
    </row>
    <row r="338" ht="12.75" customHeight="1">
      <c r="C338" s="200"/>
      <c r="L338" s="201"/>
      <c r="M338" s="201"/>
      <c r="N338" s="201"/>
      <c r="Q338" s="202"/>
      <c r="R338" s="203"/>
    </row>
    <row r="339" ht="12.75" customHeight="1">
      <c r="C339" s="200"/>
      <c r="L339" s="201"/>
      <c r="M339" s="201"/>
      <c r="N339" s="201"/>
      <c r="Q339" s="202"/>
      <c r="R339" s="203"/>
    </row>
    <row r="340" ht="12.75" customHeight="1">
      <c r="C340" s="200"/>
      <c r="L340" s="201"/>
      <c r="M340" s="201"/>
      <c r="N340" s="201"/>
      <c r="Q340" s="202"/>
      <c r="R340" s="203"/>
    </row>
    <row r="341" ht="12.75" customHeight="1">
      <c r="C341" s="200"/>
      <c r="L341" s="201"/>
      <c r="M341" s="201"/>
      <c r="N341" s="201"/>
      <c r="Q341" s="202"/>
      <c r="R341" s="203"/>
    </row>
    <row r="342" ht="12.75" customHeight="1">
      <c r="C342" s="200"/>
      <c r="L342" s="201"/>
      <c r="M342" s="201"/>
      <c r="N342" s="201"/>
      <c r="Q342" s="202"/>
      <c r="R342" s="203"/>
    </row>
    <row r="343" ht="12.75" customHeight="1">
      <c r="C343" s="200"/>
      <c r="L343" s="201"/>
      <c r="M343" s="201"/>
      <c r="N343" s="201"/>
      <c r="Q343" s="202"/>
      <c r="R343" s="203"/>
    </row>
    <row r="344" ht="12.75" customHeight="1">
      <c r="C344" s="200"/>
      <c r="L344" s="201"/>
      <c r="M344" s="201"/>
      <c r="N344" s="201"/>
      <c r="Q344" s="202"/>
      <c r="R344" s="203"/>
    </row>
    <row r="345" ht="12.75" customHeight="1">
      <c r="C345" s="200"/>
      <c r="L345" s="201"/>
      <c r="M345" s="201"/>
      <c r="N345" s="201"/>
      <c r="Q345" s="202"/>
      <c r="R345" s="203"/>
    </row>
    <row r="346" ht="12.75" customHeight="1">
      <c r="C346" s="200"/>
      <c r="L346" s="201"/>
      <c r="M346" s="201"/>
      <c r="N346" s="201"/>
      <c r="Q346" s="202"/>
      <c r="R346" s="203"/>
    </row>
    <row r="347" ht="12.75" customHeight="1">
      <c r="C347" s="200"/>
      <c r="L347" s="201"/>
      <c r="M347" s="201"/>
      <c r="N347" s="201"/>
      <c r="Q347" s="202"/>
      <c r="R347" s="203"/>
    </row>
    <row r="348" ht="12.75" customHeight="1">
      <c r="C348" s="200"/>
      <c r="L348" s="201"/>
      <c r="M348" s="201"/>
      <c r="N348" s="201"/>
      <c r="Q348" s="202"/>
      <c r="R348" s="203"/>
    </row>
    <row r="349" ht="12.75" customHeight="1">
      <c r="C349" s="200"/>
      <c r="L349" s="201"/>
      <c r="M349" s="201"/>
      <c r="N349" s="201"/>
      <c r="Q349" s="202"/>
      <c r="R349" s="203"/>
    </row>
    <row r="350" ht="12.75" customHeight="1">
      <c r="C350" s="200"/>
      <c r="L350" s="201"/>
      <c r="M350" s="201"/>
      <c r="N350" s="201"/>
      <c r="Q350" s="202"/>
      <c r="R350" s="203"/>
    </row>
    <row r="351" ht="12.75" customHeight="1">
      <c r="C351" s="200"/>
      <c r="L351" s="201"/>
      <c r="M351" s="201"/>
      <c r="N351" s="201"/>
      <c r="Q351" s="202"/>
      <c r="R351" s="203"/>
    </row>
    <row r="352" ht="12.75" customHeight="1">
      <c r="C352" s="200"/>
      <c r="L352" s="201"/>
      <c r="M352" s="201"/>
      <c r="N352" s="201"/>
      <c r="Q352" s="202"/>
      <c r="R352" s="203"/>
    </row>
    <row r="353" ht="12.75" customHeight="1">
      <c r="C353" s="200"/>
      <c r="L353" s="201"/>
      <c r="M353" s="201"/>
      <c r="N353" s="201"/>
      <c r="Q353" s="202"/>
      <c r="R353" s="203"/>
    </row>
    <row r="354" ht="12.75" customHeight="1">
      <c r="C354" s="200"/>
      <c r="L354" s="201"/>
      <c r="M354" s="201"/>
      <c r="N354" s="201"/>
      <c r="Q354" s="202"/>
      <c r="R354" s="203"/>
    </row>
    <row r="355" ht="12.75" customHeight="1">
      <c r="C355" s="200"/>
      <c r="L355" s="201"/>
      <c r="M355" s="201"/>
      <c r="N355" s="201"/>
      <c r="Q355" s="202"/>
      <c r="R355" s="203"/>
    </row>
    <row r="356" ht="12.75" customHeight="1">
      <c r="C356" s="200"/>
      <c r="L356" s="201"/>
      <c r="M356" s="201"/>
      <c r="N356" s="201"/>
      <c r="Q356" s="202"/>
      <c r="R356" s="203"/>
    </row>
    <row r="357" ht="12.75" customHeight="1">
      <c r="C357" s="200"/>
      <c r="L357" s="201"/>
      <c r="M357" s="201"/>
      <c r="N357" s="201"/>
      <c r="Q357" s="202"/>
      <c r="R357" s="203"/>
    </row>
    <row r="358" ht="12.75" customHeight="1">
      <c r="C358" s="200"/>
      <c r="L358" s="201"/>
      <c r="M358" s="201"/>
      <c r="N358" s="201"/>
      <c r="Q358" s="202"/>
      <c r="R358" s="203"/>
    </row>
    <row r="359" ht="12.75" customHeight="1">
      <c r="C359" s="200"/>
      <c r="L359" s="201"/>
      <c r="M359" s="201"/>
      <c r="N359" s="201"/>
      <c r="Q359" s="202"/>
      <c r="R359" s="203"/>
    </row>
    <row r="360" ht="12.75" customHeight="1">
      <c r="C360" s="200"/>
      <c r="L360" s="201"/>
      <c r="M360" s="201"/>
      <c r="N360" s="201"/>
      <c r="Q360" s="202"/>
      <c r="R360" s="203"/>
    </row>
    <row r="361" ht="12.75" customHeight="1">
      <c r="C361" s="200"/>
      <c r="L361" s="201"/>
      <c r="M361" s="201"/>
      <c r="N361" s="201"/>
      <c r="Q361" s="202"/>
      <c r="R361" s="203"/>
    </row>
    <row r="362" ht="12.75" customHeight="1">
      <c r="C362" s="200"/>
      <c r="L362" s="201"/>
      <c r="M362" s="201"/>
      <c r="N362" s="201"/>
      <c r="Q362" s="202"/>
      <c r="R362" s="203"/>
    </row>
    <row r="363" ht="12.75" customHeight="1">
      <c r="C363" s="200"/>
      <c r="L363" s="201"/>
      <c r="M363" s="201"/>
      <c r="N363" s="201"/>
      <c r="Q363" s="202"/>
      <c r="R363" s="203"/>
    </row>
    <row r="364" ht="12.75" customHeight="1">
      <c r="C364" s="200"/>
      <c r="L364" s="201"/>
      <c r="M364" s="201"/>
      <c r="N364" s="201"/>
      <c r="Q364" s="202"/>
      <c r="R364" s="203"/>
    </row>
    <row r="365" ht="12.75" customHeight="1">
      <c r="C365" s="200"/>
      <c r="L365" s="201"/>
      <c r="M365" s="201"/>
      <c r="N365" s="201"/>
      <c r="Q365" s="202"/>
      <c r="R365" s="203"/>
    </row>
    <row r="366" ht="12.75" customHeight="1">
      <c r="C366" s="200"/>
      <c r="L366" s="201"/>
      <c r="M366" s="201"/>
      <c r="N366" s="201"/>
      <c r="Q366" s="202"/>
      <c r="R366" s="203"/>
    </row>
    <row r="367" ht="12.75" customHeight="1">
      <c r="C367" s="200"/>
      <c r="L367" s="201"/>
      <c r="M367" s="201"/>
      <c r="N367" s="201"/>
      <c r="Q367" s="202"/>
      <c r="R367" s="203"/>
    </row>
    <row r="368" ht="12.75" customHeight="1">
      <c r="C368" s="200"/>
      <c r="L368" s="201"/>
      <c r="M368" s="201"/>
      <c r="N368" s="201"/>
      <c r="Q368" s="202"/>
      <c r="R368" s="203"/>
    </row>
    <row r="369" ht="12.75" customHeight="1">
      <c r="C369" s="200"/>
      <c r="L369" s="201"/>
      <c r="M369" s="201"/>
      <c r="N369" s="201"/>
      <c r="Q369" s="202"/>
      <c r="R369" s="203"/>
    </row>
    <row r="370" ht="12.75" customHeight="1">
      <c r="C370" s="200"/>
      <c r="L370" s="201"/>
      <c r="M370" s="201"/>
      <c r="N370" s="201"/>
      <c r="Q370" s="202"/>
      <c r="R370" s="203"/>
    </row>
    <row r="371" ht="12.75" customHeight="1">
      <c r="C371" s="200"/>
      <c r="L371" s="201"/>
      <c r="M371" s="201"/>
      <c r="N371" s="201"/>
      <c r="Q371" s="202"/>
      <c r="R371" s="203"/>
    </row>
    <row r="372" ht="12.75" customHeight="1">
      <c r="C372" s="200"/>
      <c r="L372" s="201"/>
      <c r="M372" s="201"/>
      <c r="N372" s="201"/>
      <c r="Q372" s="202"/>
      <c r="R372" s="203"/>
    </row>
    <row r="373" ht="12.75" customHeight="1">
      <c r="C373" s="200"/>
      <c r="L373" s="201"/>
      <c r="M373" s="201"/>
      <c r="N373" s="201"/>
      <c r="Q373" s="202"/>
      <c r="R373" s="203"/>
    </row>
    <row r="374" ht="12.75" customHeight="1">
      <c r="C374" s="200"/>
      <c r="L374" s="201"/>
      <c r="M374" s="201"/>
      <c r="N374" s="201"/>
      <c r="Q374" s="202"/>
      <c r="R374" s="203"/>
    </row>
    <row r="375" ht="12.75" customHeight="1">
      <c r="C375" s="200"/>
      <c r="L375" s="201"/>
      <c r="M375" s="201"/>
      <c r="N375" s="201"/>
      <c r="Q375" s="202"/>
      <c r="R375" s="203"/>
    </row>
    <row r="376" ht="12.75" customHeight="1">
      <c r="C376" s="200"/>
      <c r="L376" s="201"/>
      <c r="M376" s="201"/>
      <c r="N376" s="201"/>
      <c r="Q376" s="202"/>
      <c r="R376" s="203"/>
    </row>
    <row r="377" ht="12.75" customHeight="1">
      <c r="C377" s="200"/>
      <c r="L377" s="201"/>
      <c r="M377" s="201"/>
      <c r="N377" s="201"/>
      <c r="Q377" s="202"/>
      <c r="R377" s="203"/>
    </row>
    <row r="378" ht="12.75" customHeight="1">
      <c r="C378" s="200"/>
      <c r="L378" s="201"/>
      <c r="M378" s="201"/>
      <c r="N378" s="201"/>
      <c r="Q378" s="202"/>
      <c r="R378" s="203"/>
    </row>
    <row r="379" ht="12.75" customHeight="1">
      <c r="C379" s="200"/>
      <c r="L379" s="201"/>
      <c r="M379" s="201"/>
      <c r="N379" s="201"/>
      <c r="Q379" s="202"/>
      <c r="R379" s="203"/>
    </row>
    <row r="380" ht="12.75" customHeight="1">
      <c r="C380" s="200"/>
      <c r="L380" s="201"/>
      <c r="M380" s="201"/>
      <c r="N380" s="201"/>
      <c r="Q380" s="202"/>
      <c r="R380" s="203"/>
    </row>
    <row r="381" ht="12.75" customHeight="1">
      <c r="C381" s="200"/>
      <c r="L381" s="201"/>
      <c r="M381" s="201"/>
      <c r="N381" s="201"/>
      <c r="Q381" s="202"/>
      <c r="R381" s="203"/>
    </row>
    <row r="382" ht="12.75" customHeight="1">
      <c r="C382" s="200"/>
      <c r="L382" s="201"/>
      <c r="M382" s="201"/>
      <c r="N382" s="201"/>
      <c r="Q382" s="202"/>
      <c r="R382" s="203"/>
    </row>
    <row r="383" ht="12.75" customHeight="1">
      <c r="C383" s="200"/>
      <c r="L383" s="201"/>
      <c r="M383" s="201"/>
      <c r="N383" s="201"/>
      <c r="Q383" s="202"/>
      <c r="R383" s="203"/>
    </row>
    <row r="384" ht="12.75" customHeight="1">
      <c r="C384" s="200"/>
      <c r="L384" s="201"/>
      <c r="M384" s="201"/>
      <c r="N384" s="201"/>
      <c r="Q384" s="202"/>
      <c r="R384" s="203"/>
    </row>
    <row r="385" ht="12.75" customHeight="1">
      <c r="C385" s="200"/>
      <c r="L385" s="201"/>
      <c r="M385" s="201"/>
      <c r="N385" s="201"/>
      <c r="Q385" s="202"/>
      <c r="R385" s="203"/>
    </row>
    <row r="386" ht="12.75" customHeight="1">
      <c r="C386" s="200"/>
      <c r="L386" s="201"/>
      <c r="M386" s="201"/>
      <c r="N386" s="201"/>
      <c r="Q386" s="202"/>
      <c r="R386" s="203"/>
    </row>
    <row r="387" ht="12.75" customHeight="1">
      <c r="C387" s="200"/>
      <c r="L387" s="201"/>
      <c r="M387" s="201"/>
      <c r="N387" s="201"/>
      <c r="Q387" s="202"/>
      <c r="R387" s="203"/>
    </row>
    <row r="388" ht="12.75" customHeight="1">
      <c r="C388" s="200"/>
      <c r="L388" s="201"/>
      <c r="M388" s="201"/>
      <c r="N388" s="201"/>
      <c r="Q388" s="202"/>
      <c r="R388" s="203"/>
    </row>
    <row r="389" ht="12.75" customHeight="1">
      <c r="C389" s="200"/>
      <c r="L389" s="201"/>
      <c r="M389" s="201"/>
      <c r="N389" s="201"/>
      <c r="Q389" s="202"/>
      <c r="R389" s="203"/>
    </row>
    <row r="390" ht="12.75" customHeight="1">
      <c r="C390" s="200"/>
      <c r="L390" s="201"/>
      <c r="M390" s="201"/>
      <c r="N390" s="201"/>
      <c r="Q390" s="202"/>
      <c r="R390" s="203"/>
    </row>
    <row r="391" ht="12.75" customHeight="1">
      <c r="C391" s="200"/>
      <c r="L391" s="201"/>
      <c r="M391" s="201"/>
      <c r="N391" s="201"/>
      <c r="Q391" s="202"/>
      <c r="R391" s="203"/>
    </row>
    <row r="392" ht="12.75" customHeight="1">
      <c r="C392" s="200"/>
      <c r="L392" s="201"/>
      <c r="M392" s="201"/>
      <c r="N392" s="201"/>
      <c r="Q392" s="202"/>
      <c r="R392" s="203"/>
    </row>
    <row r="393" ht="12.75" customHeight="1">
      <c r="C393" s="200"/>
      <c r="L393" s="201"/>
      <c r="M393" s="201"/>
      <c r="N393" s="201"/>
      <c r="Q393" s="202"/>
      <c r="R393" s="203"/>
    </row>
    <row r="394" ht="12.75" customHeight="1">
      <c r="C394" s="200"/>
      <c r="L394" s="201"/>
      <c r="M394" s="201"/>
      <c r="N394" s="201"/>
      <c r="Q394" s="202"/>
      <c r="R394" s="203"/>
    </row>
    <row r="395" ht="12.75" customHeight="1">
      <c r="C395" s="200"/>
      <c r="L395" s="201"/>
      <c r="M395" s="201"/>
      <c r="N395" s="201"/>
      <c r="Q395" s="202"/>
      <c r="R395" s="203"/>
    </row>
    <row r="396" ht="12.75" customHeight="1">
      <c r="C396" s="200"/>
      <c r="L396" s="201"/>
      <c r="M396" s="201"/>
      <c r="N396" s="201"/>
      <c r="Q396" s="202"/>
      <c r="R396" s="203"/>
    </row>
    <row r="397" ht="12.75" customHeight="1">
      <c r="C397" s="200"/>
      <c r="L397" s="201"/>
      <c r="M397" s="201"/>
      <c r="N397" s="201"/>
      <c r="Q397" s="202"/>
      <c r="R397" s="203"/>
    </row>
    <row r="398" ht="12.75" customHeight="1">
      <c r="C398" s="200"/>
      <c r="L398" s="201"/>
      <c r="M398" s="201"/>
      <c r="N398" s="201"/>
      <c r="Q398" s="202"/>
      <c r="R398" s="203"/>
    </row>
    <row r="399" ht="12.75" customHeight="1">
      <c r="C399" s="200"/>
      <c r="L399" s="201"/>
      <c r="M399" s="201"/>
      <c r="N399" s="201"/>
      <c r="Q399" s="202"/>
      <c r="R399" s="203"/>
    </row>
    <row r="400" ht="12.75" customHeight="1">
      <c r="C400" s="200"/>
      <c r="L400" s="201"/>
      <c r="M400" s="201"/>
      <c r="N400" s="201"/>
      <c r="Q400" s="202"/>
      <c r="R400" s="203"/>
    </row>
    <row r="401" ht="12.75" customHeight="1">
      <c r="C401" s="200"/>
      <c r="L401" s="201"/>
      <c r="M401" s="201"/>
      <c r="N401" s="201"/>
      <c r="Q401" s="202"/>
      <c r="R401" s="203"/>
    </row>
    <row r="402" ht="12.75" customHeight="1">
      <c r="C402" s="200"/>
      <c r="L402" s="201"/>
      <c r="M402" s="201"/>
      <c r="N402" s="201"/>
      <c r="Q402" s="202"/>
      <c r="R402" s="203"/>
    </row>
    <row r="403" ht="12.75" customHeight="1">
      <c r="C403" s="200"/>
      <c r="L403" s="201"/>
      <c r="M403" s="201"/>
      <c r="N403" s="201"/>
      <c r="Q403" s="202"/>
      <c r="R403" s="203"/>
    </row>
    <row r="404" ht="12.75" customHeight="1">
      <c r="C404" s="200"/>
      <c r="L404" s="201"/>
      <c r="M404" s="201"/>
      <c r="N404" s="201"/>
      <c r="Q404" s="202"/>
      <c r="R404" s="203"/>
    </row>
    <row r="405" ht="12.75" customHeight="1">
      <c r="C405" s="200"/>
      <c r="L405" s="201"/>
      <c r="M405" s="201"/>
      <c r="N405" s="201"/>
      <c r="Q405" s="202"/>
      <c r="R405" s="203"/>
    </row>
    <row r="406" ht="12.75" customHeight="1">
      <c r="C406" s="200"/>
      <c r="L406" s="201"/>
      <c r="M406" s="201"/>
      <c r="N406" s="201"/>
      <c r="Q406" s="202"/>
      <c r="R406" s="203"/>
    </row>
    <row r="407" ht="12.75" customHeight="1">
      <c r="C407" s="200"/>
      <c r="L407" s="201"/>
      <c r="M407" s="201"/>
      <c r="N407" s="201"/>
      <c r="Q407" s="202"/>
      <c r="R407" s="203"/>
    </row>
    <row r="408" ht="12.75" customHeight="1">
      <c r="C408" s="200"/>
      <c r="L408" s="201"/>
      <c r="M408" s="201"/>
      <c r="N408" s="201"/>
      <c r="Q408" s="202"/>
      <c r="R408" s="203"/>
    </row>
    <row r="409" ht="12.75" customHeight="1">
      <c r="C409" s="200"/>
      <c r="L409" s="201"/>
      <c r="M409" s="201"/>
      <c r="N409" s="201"/>
      <c r="Q409" s="202"/>
      <c r="R409" s="203"/>
    </row>
    <row r="410" ht="12.75" customHeight="1">
      <c r="C410" s="200"/>
      <c r="L410" s="201"/>
      <c r="M410" s="201"/>
      <c r="N410" s="201"/>
      <c r="Q410" s="202"/>
      <c r="R410" s="203"/>
    </row>
    <row r="411" ht="12.75" customHeight="1">
      <c r="C411" s="200"/>
      <c r="L411" s="201"/>
      <c r="M411" s="201"/>
      <c r="N411" s="201"/>
      <c r="Q411" s="202"/>
      <c r="R411" s="203"/>
    </row>
    <row r="412" ht="12.75" customHeight="1">
      <c r="C412" s="200"/>
      <c r="L412" s="201"/>
      <c r="M412" s="201"/>
      <c r="N412" s="201"/>
      <c r="Q412" s="202"/>
      <c r="R412" s="203"/>
    </row>
    <row r="413" ht="12.75" customHeight="1">
      <c r="C413" s="200"/>
      <c r="L413" s="201"/>
      <c r="M413" s="201"/>
      <c r="N413" s="201"/>
      <c r="Q413" s="202"/>
      <c r="R413" s="203"/>
    </row>
    <row r="414" ht="12.75" customHeight="1">
      <c r="C414" s="200"/>
      <c r="L414" s="201"/>
      <c r="M414" s="201"/>
      <c r="N414" s="201"/>
      <c r="Q414" s="202"/>
      <c r="R414" s="203"/>
    </row>
    <row r="415" ht="12.75" customHeight="1">
      <c r="C415" s="200"/>
      <c r="L415" s="201"/>
      <c r="M415" s="201"/>
      <c r="N415" s="201"/>
      <c r="Q415" s="202"/>
      <c r="R415" s="203"/>
    </row>
    <row r="416" ht="12.75" customHeight="1">
      <c r="C416" s="200"/>
      <c r="L416" s="201"/>
      <c r="M416" s="201"/>
      <c r="N416" s="201"/>
      <c r="Q416" s="202"/>
      <c r="R416" s="203"/>
    </row>
    <row r="417" ht="12.75" customHeight="1">
      <c r="C417" s="200"/>
      <c r="L417" s="201"/>
      <c r="M417" s="201"/>
      <c r="N417" s="201"/>
      <c r="Q417" s="202"/>
      <c r="R417" s="203"/>
    </row>
    <row r="418" ht="12.75" customHeight="1">
      <c r="C418" s="200"/>
      <c r="L418" s="201"/>
      <c r="M418" s="201"/>
      <c r="N418" s="201"/>
      <c r="Q418" s="202"/>
      <c r="R418" s="203"/>
    </row>
    <row r="419" ht="12.75" customHeight="1">
      <c r="C419" s="200"/>
      <c r="L419" s="201"/>
      <c r="M419" s="201"/>
      <c r="N419" s="201"/>
      <c r="Q419" s="202"/>
      <c r="R419" s="203"/>
    </row>
    <row r="420" ht="12.75" customHeight="1">
      <c r="C420" s="200"/>
      <c r="L420" s="201"/>
      <c r="M420" s="201"/>
      <c r="N420" s="201"/>
      <c r="Q420" s="202"/>
      <c r="R420" s="203"/>
    </row>
    <row r="421" ht="12.75" customHeight="1">
      <c r="C421" s="200"/>
      <c r="L421" s="201"/>
      <c r="M421" s="201"/>
      <c r="N421" s="201"/>
      <c r="Q421" s="202"/>
      <c r="R421" s="203"/>
    </row>
    <row r="422" ht="12.75" customHeight="1">
      <c r="C422" s="200"/>
      <c r="L422" s="201"/>
      <c r="M422" s="201"/>
      <c r="N422" s="201"/>
      <c r="Q422" s="202"/>
      <c r="R422" s="203"/>
    </row>
    <row r="423" ht="12.75" customHeight="1">
      <c r="C423" s="200"/>
      <c r="L423" s="201"/>
      <c r="M423" s="201"/>
      <c r="N423" s="201"/>
      <c r="Q423" s="202"/>
      <c r="R423" s="203"/>
    </row>
    <row r="424" ht="12.75" customHeight="1">
      <c r="C424" s="200"/>
      <c r="L424" s="201"/>
      <c r="M424" s="201"/>
      <c r="N424" s="201"/>
      <c r="Q424" s="202"/>
      <c r="R424" s="203"/>
    </row>
    <row r="425" ht="12.75" customHeight="1">
      <c r="C425" s="200"/>
      <c r="L425" s="201"/>
      <c r="M425" s="201"/>
      <c r="N425" s="201"/>
      <c r="Q425" s="202"/>
      <c r="R425" s="203"/>
    </row>
    <row r="426" ht="12.75" customHeight="1">
      <c r="C426" s="200"/>
      <c r="L426" s="201"/>
      <c r="M426" s="201"/>
      <c r="N426" s="201"/>
      <c r="Q426" s="202"/>
      <c r="R426" s="203"/>
    </row>
    <row r="427" ht="12.75" customHeight="1">
      <c r="C427" s="200"/>
      <c r="L427" s="201"/>
      <c r="M427" s="201"/>
      <c r="N427" s="201"/>
      <c r="Q427" s="202"/>
      <c r="R427" s="203"/>
    </row>
    <row r="428" ht="12.75" customHeight="1">
      <c r="C428" s="200"/>
      <c r="L428" s="201"/>
      <c r="M428" s="201"/>
      <c r="N428" s="201"/>
      <c r="Q428" s="202"/>
      <c r="R428" s="203"/>
    </row>
    <row r="429" ht="12.75" customHeight="1">
      <c r="C429" s="200"/>
      <c r="L429" s="201"/>
      <c r="M429" s="201"/>
      <c r="N429" s="201"/>
      <c r="Q429" s="202"/>
      <c r="R429" s="203"/>
    </row>
    <row r="430" ht="12.75" customHeight="1">
      <c r="C430" s="200"/>
      <c r="L430" s="201"/>
      <c r="M430" s="201"/>
      <c r="N430" s="201"/>
      <c r="Q430" s="202"/>
      <c r="R430" s="203"/>
    </row>
    <row r="431" ht="12.75" customHeight="1">
      <c r="C431" s="200"/>
      <c r="L431" s="201"/>
      <c r="M431" s="201"/>
      <c r="N431" s="201"/>
      <c r="Q431" s="202"/>
      <c r="R431" s="203"/>
    </row>
    <row r="432" ht="12.75" customHeight="1">
      <c r="C432" s="200"/>
      <c r="L432" s="201"/>
      <c r="M432" s="201"/>
      <c r="N432" s="201"/>
      <c r="Q432" s="202"/>
      <c r="R432" s="203"/>
    </row>
    <row r="433" ht="12.75" customHeight="1">
      <c r="C433" s="200"/>
      <c r="L433" s="201"/>
      <c r="M433" s="201"/>
      <c r="N433" s="201"/>
      <c r="Q433" s="202"/>
      <c r="R433" s="203"/>
    </row>
    <row r="434" ht="12.75" customHeight="1">
      <c r="C434" s="200"/>
      <c r="L434" s="201"/>
      <c r="M434" s="201"/>
      <c r="N434" s="201"/>
      <c r="Q434" s="202"/>
      <c r="R434" s="203"/>
    </row>
    <row r="435" ht="12.75" customHeight="1">
      <c r="C435" s="200"/>
      <c r="L435" s="201"/>
      <c r="M435" s="201"/>
      <c r="N435" s="201"/>
      <c r="Q435" s="202"/>
      <c r="R435" s="203"/>
    </row>
    <row r="436" ht="12.75" customHeight="1">
      <c r="C436" s="200"/>
      <c r="L436" s="201"/>
      <c r="M436" s="201"/>
      <c r="N436" s="201"/>
      <c r="Q436" s="202"/>
      <c r="R436" s="203"/>
    </row>
    <row r="437" ht="12.75" customHeight="1">
      <c r="C437" s="200"/>
      <c r="L437" s="201"/>
      <c r="M437" s="201"/>
      <c r="N437" s="201"/>
      <c r="Q437" s="202"/>
      <c r="R437" s="203"/>
    </row>
    <row r="438" ht="12.75" customHeight="1">
      <c r="C438" s="200"/>
      <c r="L438" s="201"/>
      <c r="M438" s="201"/>
      <c r="N438" s="201"/>
      <c r="Q438" s="202"/>
      <c r="R438" s="203"/>
    </row>
    <row r="439" ht="12.75" customHeight="1">
      <c r="C439" s="200"/>
      <c r="L439" s="201"/>
      <c r="M439" s="201"/>
      <c r="N439" s="201"/>
      <c r="Q439" s="202"/>
      <c r="R439" s="203"/>
    </row>
    <row r="440" ht="12.75" customHeight="1">
      <c r="C440" s="200"/>
      <c r="L440" s="201"/>
      <c r="M440" s="201"/>
      <c r="N440" s="201"/>
      <c r="Q440" s="202"/>
      <c r="R440" s="203"/>
    </row>
    <row r="441" ht="12.75" customHeight="1">
      <c r="C441" s="200"/>
      <c r="L441" s="201"/>
      <c r="M441" s="201"/>
      <c r="N441" s="201"/>
      <c r="Q441" s="202"/>
      <c r="R441" s="203"/>
    </row>
    <row r="442" ht="12.75" customHeight="1">
      <c r="C442" s="200"/>
      <c r="L442" s="201"/>
      <c r="M442" s="201"/>
      <c r="N442" s="201"/>
      <c r="Q442" s="202"/>
      <c r="R442" s="203"/>
    </row>
    <row r="443" ht="12.75" customHeight="1">
      <c r="C443" s="200"/>
      <c r="L443" s="201"/>
      <c r="M443" s="201"/>
      <c r="N443" s="201"/>
      <c r="Q443" s="202"/>
      <c r="R443" s="203"/>
    </row>
    <row r="444" ht="12.75" customHeight="1">
      <c r="C444" s="200"/>
      <c r="L444" s="201"/>
      <c r="M444" s="201"/>
      <c r="N444" s="201"/>
      <c r="Q444" s="202"/>
      <c r="R444" s="203"/>
    </row>
    <row r="445" ht="12.75" customHeight="1">
      <c r="C445" s="200"/>
      <c r="L445" s="201"/>
      <c r="M445" s="201"/>
      <c r="N445" s="201"/>
      <c r="Q445" s="202"/>
      <c r="R445" s="203"/>
    </row>
    <row r="446" ht="12.75" customHeight="1">
      <c r="C446" s="200"/>
      <c r="L446" s="201"/>
      <c r="M446" s="201"/>
      <c r="N446" s="201"/>
      <c r="Q446" s="202"/>
      <c r="R446" s="203"/>
    </row>
    <row r="447" ht="12.75" customHeight="1">
      <c r="C447" s="200"/>
      <c r="L447" s="201"/>
      <c r="M447" s="201"/>
      <c r="N447" s="201"/>
      <c r="Q447" s="202"/>
      <c r="R447" s="203"/>
    </row>
    <row r="448" ht="12.75" customHeight="1">
      <c r="C448" s="200"/>
      <c r="L448" s="201"/>
      <c r="M448" s="201"/>
      <c r="N448" s="201"/>
      <c r="Q448" s="202"/>
      <c r="R448" s="203"/>
    </row>
    <row r="449" ht="12.75" customHeight="1">
      <c r="C449" s="200"/>
      <c r="L449" s="201"/>
      <c r="M449" s="201"/>
      <c r="N449" s="201"/>
      <c r="Q449" s="202"/>
      <c r="R449" s="203"/>
    </row>
    <row r="450" ht="12.75" customHeight="1">
      <c r="C450" s="200"/>
      <c r="L450" s="201"/>
      <c r="M450" s="201"/>
      <c r="N450" s="201"/>
      <c r="Q450" s="202"/>
      <c r="R450" s="203"/>
    </row>
    <row r="451" ht="12.75" customHeight="1">
      <c r="C451" s="200"/>
      <c r="L451" s="201"/>
      <c r="M451" s="201"/>
      <c r="N451" s="201"/>
      <c r="Q451" s="202"/>
      <c r="R451" s="203"/>
    </row>
    <row r="452" ht="12.75" customHeight="1">
      <c r="C452" s="200"/>
      <c r="L452" s="201"/>
      <c r="M452" s="201"/>
      <c r="N452" s="201"/>
      <c r="Q452" s="202"/>
      <c r="R452" s="203"/>
    </row>
    <row r="453" ht="12.75" customHeight="1">
      <c r="C453" s="200"/>
      <c r="L453" s="201"/>
      <c r="M453" s="201"/>
      <c r="N453" s="201"/>
      <c r="Q453" s="202"/>
      <c r="R453" s="203"/>
    </row>
    <row r="454" ht="12.75" customHeight="1">
      <c r="C454" s="200"/>
      <c r="L454" s="201"/>
      <c r="M454" s="201"/>
      <c r="N454" s="201"/>
      <c r="Q454" s="202"/>
      <c r="R454" s="203"/>
    </row>
    <row r="455" ht="12.75" customHeight="1">
      <c r="C455" s="200"/>
      <c r="L455" s="201"/>
      <c r="M455" s="201"/>
      <c r="N455" s="201"/>
      <c r="Q455" s="202"/>
      <c r="R455" s="203"/>
    </row>
    <row r="456" ht="12.75" customHeight="1">
      <c r="C456" s="200"/>
      <c r="L456" s="201"/>
      <c r="M456" s="201"/>
      <c r="N456" s="201"/>
      <c r="Q456" s="202"/>
      <c r="R456" s="203"/>
    </row>
    <row r="457" ht="12.75" customHeight="1">
      <c r="C457" s="200"/>
      <c r="L457" s="201"/>
      <c r="M457" s="201"/>
      <c r="N457" s="201"/>
      <c r="Q457" s="202"/>
      <c r="R457" s="203"/>
    </row>
    <row r="458" ht="12.75" customHeight="1">
      <c r="C458" s="200"/>
      <c r="L458" s="201"/>
      <c r="M458" s="201"/>
      <c r="N458" s="201"/>
      <c r="Q458" s="202"/>
      <c r="R458" s="203"/>
    </row>
    <row r="459" ht="12.75" customHeight="1">
      <c r="C459" s="200"/>
      <c r="L459" s="201"/>
      <c r="M459" s="201"/>
      <c r="N459" s="201"/>
      <c r="Q459" s="202"/>
      <c r="R459" s="203"/>
    </row>
    <row r="460" ht="12.75" customHeight="1">
      <c r="C460" s="200"/>
      <c r="L460" s="201"/>
      <c r="M460" s="201"/>
      <c r="N460" s="201"/>
      <c r="Q460" s="202"/>
      <c r="R460" s="203"/>
    </row>
    <row r="461" ht="12.75" customHeight="1">
      <c r="C461" s="200"/>
      <c r="L461" s="201"/>
      <c r="M461" s="201"/>
      <c r="N461" s="201"/>
      <c r="Q461" s="202"/>
      <c r="R461" s="203"/>
    </row>
    <row r="462" ht="12.75" customHeight="1">
      <c r="C462" s="200"/>
      <c r="L462" s="201"/>
      <c r="M462" s="201"/>
      <c r="N462" s="201"/>
      <c r="Q462" s="202"/>
      <c r="R462" s="203"/>
    </row>
    <row r="463" ht="12.75" customHeight="1">
      <c r="C463" s="200"/>
      <c r="L463" s="201"/>
      <c r="M463" s="201"/>
      <c r="N463" s="201"/>
      <c r="Q463" s="202"/>
      <c r="R463" s="203"/>
    </row>
    <row r="464" ht="12.75" customHeight="1">
      <c r="C464" s="200"/>
      <c r="L464" s="201"/>
      <c r="M464" s="201"/>
      <c r="N464" s="201"/>
      <c r="Q464" s="202"/>
      <c r="R464" s="203"/>
    </row>
    <row r="465" ht="12.75" customHeight="1">
      <c r="C465" s="200"/>
      <c r="L465" s="201"/>
      <c r="M465" s="201"/>
      <c r="N465" s="201"/>
      <c r="Q465" s="202"/>
      <c r="R465" s="203"/>
    </row>
    <row r="466" ht="12.75" customHeight="1">
      <c r="C466" s="200"/>
      <c r="L466" s="201"/>
      <c r="M466" s="201"/>
      <c r="N466" s="201"/>
      <c r="Q466" s="202"/>
      <c r="R466" s="203"/>
    </row>
    <row r="467" ht="12.75" customHeight="1">
      <c r="C467" s="200"/>
      <c r="L467" s="201"/>
      <c r="M467" s="201"/>
      <c r="N467" s="201"/>
      <c r="Q467" s="202"/>
      <c r="R467" s="203"/>
    </row>
    <row r="468" ht="12.75" customHeight="1">
      <c r="C468" s="200"/>
      <c r="L468" s="201"/>
      <c r="M468" s="201"/>
      <c r="N468" s="201"/>
      <c r="Q468" s="202"/>
      <c r="R468" s="203"/>
    </row>
    <row r="469" ht="12.75" customHeight="1">
      <c r="C469" s="200"/>
      <c r="L469" s="201"/>
      <c r="M469" s="201"/>
      <c r="N469" s="201"/>
      <c r="Q469" s="202"/>
      <c r="R469" s="203"/>
    </row>
    <row r="470" ht="12.75" customHeight="1">
      <c r="C470" s="200"/>
      <c r="L470" s="201"/>
      <c r="M470" s="201"/>
      <c r="N470" s="201"/>
      <c r="Q470" s="202"/>
      <c r="R470" s="203"/>
    </row>
    <row r="471" ht="12.75" customHeight="1">
      <c r="C471" s="200"/>
      <c r="L471" s="201"/>
      <c r="M471" s="201"/>
      <c r="N471" s="201"/>
      <c r="Q471" s="202"/>
      <c r="R471" s="203"/>
    </row>
    <row r="472" ht="12.75" customHeight="1">
      <c r="C472" s="200"/>
      <c r="L472" s="201"/>
      <c r="M472" s="201"/>
      <c r="N472" s="201"/>
      <c r="Q472" s="202"/>
      <c r="R472" s="203"/>
    </row>
    <row r="473" ht="12.75" customHeight="1">
      <c r="C473" s="200"/>
      <c r="L473" s="201"/>
      <c r="M473" s="201"/>
      <c r="N473" s="201"/>
      <c r="Q473" s="202"/>
      <c r="R473" s="203"/>
    </row>
    <row r="474" ht="12.75" customHeight="1">
      <c r="C474" s="200"/>
      <c r="L474" s="201"/>
      <c r="M474" s="201"/>
      <c r="N474" s="201"/>
      <c r="Q474" s="202"/>
      <c r="R474" s="203"/>
    </row>
    <row r="475" ht="12.75" customHeight="1">
      <c r="C475" s="200"/>
      <c r="L475" s="201"/>
      <c r="M475" s="201"/>
      <c r="N475" s="201"/>
      <c r="Q475" s="202"/>
      <c r="R475" s="203"/>
    </row>
    <row r="476" ht="12.75" customHeight="1">
      <c r="C476" s="200"/>
      <c r="L476" s="201"/>
      <c r="M476" s="201"/>
      <c r="N476" s="201"/>
      <c r="Q476" s="202"/>
      <c r="R476" s="203"/>
    </row>
    <row r="477" ht="12.75" customHeight="1">
      <c r="C477" s="200"/>
      <c r="L477" s="201"/>
      <c r="M477" s="201"/>
      <c r="N477" s="201"/>
      <c r="Q477" s="202"/>
      <c r="R477" s="203"/>
    </row>
    <row r="478" ht="12.75" customHeight="1">
      <c r="C478" s="200"/>
      <c r="L478" s="201"/>
      <c r="M478" s="201"/>
      <c r="N478" s="201"/>
      <c r="Q478" s="202"/>
      <c r="R478" s="203"/>
    </row>
    <row r="479" ht="12.75" customHeight="1">
      <c r="C479" s="200"/>
      <c r="L479" s="201"/>
      <c r="M479" s="201"/>
      <c r="N479" s="201"/>
      <c r="Q479" s="202"/>
      <c r="R479" s="203"/>
    </row>
    <row r="480" ht="12.75" customHeight="1">
      <c r="C480" s="200"/>
      <c r="L480" s="201"/>
      <c r="M480" s="201"/>
      <c r="N480" s="201"/>
      <c r="Q480" s="202"/>
      <c r="R480" s="203"/>
    </row>
    <row r="481" ht="12.75" customHeight="1">
      <c r="C481" s="200"/>
      <c r="L481" s="201"/>
      <c r="M481" s="201"/>
      <c r="N481" s="201"/>
      <c r="Q481" s="202"/>
      <c r="R481" s="203"/>
    </row>
    <row r="482" ht="12.75" customHeight="1">
      <c r="C482" s="200"/>
      <c r="L482" s="201"/>
      <c r="M482" s="201"/>
      <c r="N482" s="201"/>
      <c r="Q482" s="202"/>
      <c r="R482" s="203"/>
    </row>
    <row r="483" ht="12.75" customHeight="1">
      <c r="C483" s="200"/>
      <c r="L483" s="201"/>
      <c r="M483" s="201"/>
      <c r="N483" s="201"/>
      <c r="Q483" s="202"/>
      <c r="R483" s="203"/>
    </row>
    <row r="484" ht="12.75" customHeight="1">
      <c r="C484" s="200"/>
      <c r="L484" s="201"/>
      <c r="M484" s="201"/>
      <c r="N484" s="201"/>
      <c r="Q484" s="202"/>
      <c r="R484" s="203"/>
    </row>
    <row r="485" ht="12.75" customHeight="1">
      <c r="C485" s="200"/>
      <c r="L485" s="201"/>
      <c r="M485" s="201"/>
      <c r="N485" s="201"/>
      <c r="Q485" s="202"/>
      <c r="R485" s="203"/>
    </row>
    <row r="486" ht="12.75" customHeight="1">
      <c r="C486" s="200"/>
      <c r="L486" s="201"/>
      <c r="M486" s="201"/>
      <c r="N486" s="201"/>
      <c r="Q486" s="202"/>
      <c r="R486" s="203"/>
    </row>
    <row r="487" ht="12.75" customHeight="1">
      <c r="C487" s="200"/>
      <c r="L487" s="201"/>
      <c r="M487" s="201"/>
      <c r="N487" s="201"/>
      <c r="Q487" s="202"/>
      <c r="R487" s="203"/>
    </row>
    <row r="488" ht="12.75" customHeight="1">
      <c r="C488" s="200"/>
      <c r="L488" s="201"/>
      <c r="M488" s="201"/>
      <c r="N488" s="201"/>
      <c r="Q488" s="202"/>
      <c r="R488" s="203"/>
    </row>
    <row r="489" ht="12.75" customHeight="1">
      <c r="C489" s="200"/>
      <c r="L489" s="201"/>
      <c r="M489" s="201"/>
      <c r="N489" s="201"/>
      <c r="Q489" s="202"/>
      <c r="R489" s="203"/>
    </row>
    <row r="490" ht="12.75" customHeight="1">
      <c r="C490" s="200"/>
      <c r="L490" s="201"/>
      <c r="M490" s="201"/>
      <c r="N490" s="201"/>
      <c r="Q490" s="202"/>
      <c r="R490" s="203"/>
    </row>
    <row r="491" ht="12.75" customHeight="1">
      <c r="C491" s="200"/>
      <c r="L491" s="201"/>
      <c r="M491" s="201"/>
      <c r="N491" s="201"/>
      <c r="Q491" s="202"/>
      <c r="R491" s="203"/>
    </row>
    <row r="492" ht="12.75" customHeight="1">
      <c r="C492" s="200"/>
      <c r="L492" s="201"/>
      <c r="M492" s="201"/>
      <c r="N492" s="201"/>
      <c r="Q492" s="202"/>
      <c r="R492" s="203"/>
    </row>
    <row r="493" ht="12.75" customHeight="1">
      <c r="C493" s="200"/>
      <c r="L493" s="201"/>
      <c r="M493" s="201"/>
      <c r="N493" s="201"/>
      <c r="Q493" s="202"/>
      <c r="R493" s="203"/>
    </row>
    <row r="494" ht="12.75" customHeight="1">
      <c r="C494" s="200"/>
      <c r="L494" s="201"/>
      <c r="M494" s="201"/>
      <c r="N494" s="201"/>
      <c r="Q494" s="202"/>
      <c r="R494" s="203"/>
    </row>
    <row r="495" ht="12.75" customHeight="1">
      <c r="C495" s="200"/>
      <c r="L495" s="201"/>
      <c r="M495" s="201"/>
      <c r="N495" s="201"/>
      <c r="Q495" s="202"/>
      <c r="R495" s="203"/>
    </row>
    <row r="496" ht="12.75" customHeight="1">
      <c r="C496" s="200"/>
      <c r="L496" s="201"/>
      <c r="M496" s="201"/>
      <c r="N496" s="201"/>
      <c r="Q496" s="202"/>
      <c r="R496" s="203"/>
    </row>
    <row r="497" ht="12.75" customHeight="1">
      <c r="C497" s="200"/>
      <c r="L497" s="201"/>
      <c r="M497" s="201"/>
      <c r="N497" s="201"/>
      <c r="Q497" s="202"/>
      <c r="R497" s="203"/>
    </row>
    <row r="498" ht="12.75" customHeight="1">
      <c r="C498" s="200"/>
      <c r="L498" s="201"/>
      <c r="M498" s="201"/>
      <c r="N498" s="201"/>
      <c r="Q498" s="202"/>
      <c r="R498" s="203"/>
    </row>
    <row r="499" ht="12.75" customHeight="1">
      <c r="C499" s="200"/>
      <c r="L499" s="201"/>
      <c r="M499" s="201"/>
      <c r="N499" s="201"/>
      <c r="Q499" s="202"/>
      <c r="R499" s="203"/>
    </row>
    <row r="500" ht="12.75" customHeight="1">
      <c r="C500" s="200"/>
      <c r="L500" s="201"/>
      <c r="M500" s="201"/>
      <c r="N500" s="201"/>
      <c r="Q500" s="202"/>
      <c r="R500" s="203"/>
    </row>
    <row r="501" ht="12.75" customHeight="1">
      <c r="C501" s="200"/>
      <c r="L501" s="201"/>
      <c r="M501" s="201"/>
      <c r="N501" s="201"/>
      <c r="Q501" s="202"/>
      <c r="R501" s="203"/>
    </row>
    <row r="502" ht="12.75" customHeight="1">
      <c r="C502" s="200"/>
      <c r="L502" s="201"/>
      <c r="M502" s="201"/>
      <c r="N502" s="201"/>
      <c r="Q502" s="202"/>
      <c r="R502" s="203"/>
    </row>
    <row r="503" ht="12.75" customHeight="1">
      <c r="C503" s="200"/>
      <c r="L503" s="201"/>
      <c r="M503" s="201"/>
      <c r="N503" s="201"/>
      <c r="Q503" s="202"/>
      <c r="R503" s="203"/>
    </row>
    <row r="504" ht="12.75" customHeight="1">
      <c r="C504" s="200"/>
      <c r="L504" s="201"/>
      <c r="M504" s="201"/>
      <c r="N504" s="201"/>
      <c r="Q504" s="202"/>
      <c r="R504" s="203"/>
    </row>
    <row r="505" ht="12.75" customHeight="1">
      <c r="C505" s="200"/>
      <c r="L505" s="201"/>
      <c r="M505" s="201"/>
      <c r="N505" s="201"/>
      <c r="Q505" s="202"/>
      <c r="R505" s="203"/>
    </row>
    <row r="506" ht="12.75" customHeight="1">
      <c r="C506" s="200"/>
      <c r="L506" s="201"/>
      <c r="M506" s="201"/>
      <c r="N506" s="201"/>
      <c r="Q506" s="202"/>
      <c r="R506" s="203"/>
    </row>
    <row r="507" ht="12.75" customHeight="1">
      <c r="C507" s="200"/>
      <c r="L507" s="201"/>
      <c r="M507" s="201"/>
      <c r="N507" s="201"/>
      <c r="Q507" s="202"/>
      <c r="R507" s="203"/>
    </row>
    <row r="508" ht="12.75" customHeight="1">
      <c r="C508" s="200"/>
      <c r="L508" s="201"/>
      <c r="M508" s="201"/>
      <c r="N508" s="201"/>
      <c r="Q508" s="202"/>
      <c r="R508" s="203"/>
    </row>
    <row r="509" ht="12.75" customHeight="1">
      <c r="C509" s="200"/>
      <c r="L509" s="201"/>
      <c r="M509" s="201"/>
      <c r="N509" s="201"/>
      <c r="Q509" s="202"/>
      <c r="R509" s="203"/>
    </row>
    <row r="510" ht="12.75" customHeight="1">
      <c r="C510" s="200"/>
      <c r="L510" s="201"/>
      <c r="M510" s="201"/>
      <c r="N510" s="201"/>
      <c r="Q510" s="202"/>
      <c r="R510" s="203"/>
    </row>
    <row r="511" ht="12.75" customHeight="1">
      <c r="C511" s="200"/>
      <c r="L511" s="201"/>
      <c r="M511" s="201"/>
      <c r="N511" s="201"/>
      <c r="Q511" s="202"/>
      <c r="R511" s="203"/>
    </row>
    <row r="512" ht="12.75" customHeight="1">
      <c r="C512" s="200"/>
      <c r="L512" s="201"/>
      <c r="M512" s="201"/>
      <c r="N512" s="201"/>
      <c r="Q512" s="202"/>
      <c r="R512" s="203"/>
    </row>
    <row r="513" ht="12.75" customHeight="1">
      <c r="C513" s="200"/>
      <c r="L513" s="201"/>
      <c r="M513" s="201"/>
      <c r="N513" s="201"/>
      <c r="Q513" s="202"/>
      <c r="R513" s="203"/>
    </row>
    <row r="514" ht="12.75" customHeight="1">
      <c r="C514" s="200"/>
      <c r="L514" s="201"/>
      <c r="M514" s="201"/>
      <c r="N514" s="201"/>
      <c r="Q514" s="202"/>
      <c r="R514" s="203"/>
    </row>
    <row r="515" ht="12.75" customHeight="1">
      <c r="C515" s="200"/>
      <c r="L515" s="201"/>
      <c r="M515" s="201"/>
      <c r="N515" s="201"/>
      <c r="Q515" s="202"/>
      <c r="R515" s="203"/>
    </row>
    <row r="516" ht="12.75" customHeight="1">
      <c r="C516" s="200"/>
      <c r="L516" s="201"/>
      <c r="M516" s="201"/>
      <c r="N516" s="201"/>
      <c r="Q516" s="202"/>
      <c r="R516" s="203"/>
    </row>
    <row r="517" ht="12.75" customHeight="1">
      <c r="C517" s="200"/>
      <c r="L517" s="201"/>
      <c r="M517" s="201"/>
      <c r="N517" s="201"/>
      <c r="Q517" s="202"/>
      <c r="R517" s="203"/>
    </row>
    <row r="518" ht="12.75" customHeight="1">
      <c r="C518" s="200"/>
      <c r="L518" s="201"/>
      <c r="M518" s="201"/>
      <c r="N518" s="201"/>
      <c r="Q518" s="202"/>
      <c r="R518" s="203"/>
    </row>
    <row r="519" ht="12.75" customHeight="1">
      <c r="C519" s="200"/>
      <c r="L519" s="201"/>
      <c r="M519" s="201"/>
      <c r="N519" s="201"/>
      <c r="Q519" s="202"/>
      <c r="R519" s="203"/>
    </row>
    <row r="520" ht="12.75" customHeight="1">
      <c r="C520" s="200"/>
      <c r="L520" s="201"/>
      <c r="M520" s="201"/>
      <c r="N520" s="201"/>
      <c r="Q520" s="202"/>
      <c r="R520" s="203"/>
    </row>
    <row r="521" ht="12.75" customHeight="1">
      <c r="C521" s="200"/>
      <c r="L521" s="201"/>
      <c r="M521" s="201"/>
      <c r="N521" s="201"/>
      <c r="Q521" s="202"/>
      <c r="R521" s="203"/>
    </row>
    <row r="522" ht="12.75" customHeight="1">
      <c r="C522" s="200"/>
      <c r="L522" s="201"/>
      <c r="M522" s="201"/>
      <c r="N522" s="201"/>
      <c r="Q522" s="202"/>
      <c r="R522" s="203"/>
    </row>
    <row r="523" ht="12.75" customHeight="1">
      <c r="C523" s="200"/>
      <c r="L523" s="201"/>
      <c r="M523" s="201"/>
      <c r="N523" s="201"/>
      <c r="Q523" s="202"/>
      <c r="R523" s="203"/>
    </row>
    <row r="524" ht="12.75" customHeight="1">
      <c r="C524" s="200"/>
      <c r="L524" s="201"/>
      <c r="M524" s="201"/>
      <c r="N524" s="201"/>
      <c r="Q524" s="202"/>
      <c r="R524" s="203"/>
    </row>
    <row r="525" ht="12.75" customHeight="1">
      <c r="C525" s="200"/>
      <c r="L525" s="201"/>
      <c r="M525" s="201"/>
      <c r="N525" s="201"/>
      <c r="Q525" s="202"/>
      <c r="R525" s="203"/>
    </row>
    <row r="526" ht="12.75" customHeight="1">
      <c r="C526" s="200"/>
      <c r="L526" s="201"/>
      <c r="M526" s="201"/>
      <c r="N526" s="201"/>
      <c r="Q526" s="202"/>
      <c r="R526" s="203"/>
    </row>
    <row r="527" ht="12.75" customHeight="1">
      <c r="C527" s="200"/>
      <c r="L527" s="201"/>
      <c r="M527" s="201"/>
      <c r="N527" s="201"/>
      <c r="Q527" s="202"/>
      <c r="R527" s="203"/>
    </row>
    <row r="528" ht="12.75" customHeight="1">
      <c r="C528" s="200"/>
      <c r="L528" s="201"/>
      <c r="M528" s="201"/>
      <c r="N528" s="201"/>
      <c r="Q528" s="202"/>
      <c r="R528" s="203"/>
    </row>
    <row r="529" ht="12.75" customHeight="1">
      <c r="C529" s="200"/>
      <c r="L529" s="201"/>
      <c r="M529" s="201"/>
      <c r="N529" s="201"/>
      <c r="Q529" s="202"/>
      <c r="R529" s="203"/>
    </row>
    <row r="530" ht="12.75" customHeight="1">
      <c r="C530" s="200"/>
      <c r="L530" s="201"/>
      <c r="M530" s="201"/>
      <c r="N530" s="201"/>
      <c r="Q530" s="202"/>
      <c r="R530" s="203"/>
    </row>
    <row r="531" ht="12.75" customHeight="1">
      <c r="C531" s="200"/>
      <c r="L531" s="201"/>
      <c r="M531" s="201"/>
      <c r="N531" s="201"/>
      <c r="Q531" s="202"/>
      <c r="R531" s="203"/>
    </row>
    <row r="532" ht="12.75" customHeight="1">
      <c r="C532" s="200"/>
      <c r="L532" s="201"/>
      <c r="M532" s="201"/>
      <c r="N532" s="201"/>
      <c r="Q532" s="202"/>
      <c r="R532" s="203"/>
    </row>
    <row r="533" ht="12.75" customHeight="1">
      <c r="C533" s="200"/>
      <c r="L533" s="201"/>
      <c r="M533" s="201"/>
      <c r="N533" s="201"/>
      <c r="Q533" s="202"/>
      <c r="R533" s="203"/>
    </row>
    <row r="534" ht="12.75" customHeight="1">
      <c r="C534" s="200"/>
      <c r="L534" s="201"/>
      <c r="M534" s="201"/>
      <c r="N534" s="201"/>
      <c r="Q534" s="202"/>
      <c r="R534" s="203"/>
    </row>
    <row r="535" ht="12.75" customHeight="1">
      <c r="C535" s="200"/>
      <c r="L535" s="201"/>
      <c r="M535" s="201"/>
      <c r="N535" s="201"/>
      <c r="Q535" s="202"/>
      <c r="R535" s="203"/>
    </row>
    <row r="536" ht="12.75" customHeight="1">
      <c r="C536" s="200"/>
      <c r="L536" s="201"/>
      <c r="M536" s="201"/>
      <c r="N536" s="201"/>
      <c r="Q536" s="202"/>
      <c r="R536" s="203"/>
    </row>
    <row r="537" ht="12.75" customHeight="1">
      <c r="C537" s="200"/>
      <c r="L537" s="201"/>
      <c r="M537" s="201"/>
      <c r="N537" s="201"/>
      <c r="Q537" s="202"/>
      <c r="R537" s="203"/>
    </row>
    <row r="538" ht="12.75" customHeight="1">
      <c r="C538" s="200"/>
      <c r="L538" s="201"/>
      <c r="M538" s="201"/>
      <c r="N538" s="201"/>
      <c r="Q538" s="202"/>
      <c r="R538" s="203"/>
    </row>
    <row r="539" ht="12.75" customHeight="1">
      <c r="C539" s="200"/>
      <c r="L539" s="201"/>
      <c r="M539" s="201"/>
      <c r="N539" s="201"/>
      <c r="Q539" s="202"/>
      <c r="R539" s="203"/>
    </row>
    <row r="540" ht="12.75" customHeight="1">
      <c r="C540" s="200"/>
      <c r="L540" s="201"/>
      <c r="M540" s="201"/>
      <c r="N540" s="201"/>
      <c r="Q540" s="202"/>
      <c r="R540" s="203"/>
    </row>
    <row r="541" ht="12.75" customHeight="1">
      <c r="C541" s="200"/>
      <c r="L541" s="201"/>
      <c r="M541" s="201"/>
      <c r="N541" s="201"/>
      <c r="Q541" s="202"/>
      <c r="R541" s="203"/>
    </row>
    <row r="542" ht="12.75" customHeight="1">
      <c r="C542" s="200"/>
      <c r="L542" s="201"/>
      <c r="M542" s="201"/>
      <c r="N542" s="201"/>
      <c r="Q542" s="202"/>
      <c r="R542" s="203"/>
    </row>
    <row r="543" ht="12.75" customHeight="1">
      <c r="C543" s="200"/>
      <c r="L543" s="201"/>
      <c r="M543" s="201"/>
      <c r="N543" s="201"/>
      <c r="Q543" s="202"/>
      <c r="R543" s="203"/>
    </row>
    <row r="544" ht="12.75" customHeight="1">
      <c r="C544" s="200"/>
      <c r="L544" s="201"/>
      <c r="M544" s="201"/>
      <c r="N544" s="201"/>
      <c r="Q544" s="202"/>
      <c r="R544" s="203"/>
    </row>
    <row r="545" ht="12.75" customHeight="1">
      <c r="C545" s="200"/>
      <c r="L545" s="201"/>
      <c r="M545" s="201"/>
      <c r="N545" s="201"/>
      <c r="Q545" s="202"/>
      <c r="R545" s="203"/>
    </row>
    <row r="546" ht="12.75" customHeight="1">
      <c r="C546" s="200"/>
      <c r="L546" s="201"/>
      <c r="M546" s="201"/>
      <c r="N546" s="201"/>
      <c r="Q546" s="202"/>
      <c r="R546" s="203"/>
    </row>
    <row r="547" ht="12.75" customHeight="1">
      <c r="C547" s="200"/>
      <c r="L547" s="201"/>
      <c r="M547" s="201"/>
      <c r="N547" s="201"/>
      <c r="Q547" s="202"/>
      <c r="R547" s="203"/>
    </row>
    <row r="548" ht="12.75" customHeight="1">
      <c r="C548" s="200"/>
      <c r="L548" s="201"/>
      <c r="M548" s="201"/>
      <c r="N548" s="201"/>
      <c r="Q548" s="202"/>
      <c r="R548" s="203"/>
    </row>
    <row r="549" ht="12.75" customHeight="1">
      <c r="C549" s="200"/>
      <c r="L549" s="201"/>
      <c r="M549" s="201"/>
      <c r="N549" s="201"/>
      <c r="Q549" s="202"/>
      <c r="R549" s="203"/>
    </row>
    <row r="550" ht="12.75" customHeight="1">
      <c r="C550" s="200"/>
      <c r="L550" s="201"/>
      <c r="M550" s="201"/>
      <c r="N550" s="201"/>
      <c r="Q550" s="202"/>
      <c r="R550" s="203"/>
    </row>
    <row r="551" ht="12.75" customHeight="1">
      <c r="C551" s="200"/>
      <c r="L551" s="201"/>
      <c r="M551" s="201"/>
      <c r="N551" s="201"/>
      <c r="Q551" s="202"/>
      <c r="R551" s="203"/>
    </row>
    <row r="552" ht="12.75" customHeight="1">
      <c r="C552" s="200"/>
      <c r="L552" s="201"/>
      <c r="M552" s="201"/>
      <c r="N552" s="201"/>
      <c r="Q552" s="202"/>
      <c r="R552" s="203"/>
    </row>
    <row r="553" ht="12.75" customHeight="1">
      <c r="C553" s="200"/>
      <c r="L553" s="201"/>
      <c r="M553" s="201"/>
      <c r="N553" s="201"/>
      <c r="Q553" s="202"/>
      <c r="R553" s="203"/>
    </row>
    <row r="554" ht="12.75" customHeight="1">
      <c r="C554" s="200"/>
      <c r="L554" s="201"/>
      <c r="M554" s="201"/>
      <c r="N554" s="201"/>
      <c r="Q554" s="202"/>
      <c r="R554" s="203"/>
    </row>
    <row r="555" ht="12.75" customHeight="1">
      <c r="C555" s="200"/>
      <c r="L555" s="201"/>
      <c r="M555" s="201"/>
      <c r="N555" s="201"/>
      <c r="Q555" s="202"/>
      <c r="R555" s="203"/>
    </row>
    <row r="556" ht="12.75" customHeight="1">
      <c r="C556" s="200"/>
      <c r="L556" s="201"/>
      <c r="M556" s="201"/>
      <c r="N556" s="201"/>
      <c r="Q556" s="202"/>
      <c r="R556" s="203"/>
    </row>
    <row r="557" ht="12.75" customHeight="1">
      <c r="C557" s="200"/>
      <c r="L557" s="201"/>
      <c r="M557" s="201"/>
      <c r="N557" s="201"/>
      <c r="Q557" s="202"/>
      <c r="R557" s="203"/>
    </row>
    <row r="558" ht="12.75" customHeight="1">
      <c r="C558" s="200"/>
      <c r="L558" s="201"/>
      <c r="M558" s="201"/>
      <c r="N558" s="201"/>
      <c r="Q558" s="202"/>
      <c r="R558" s="203"/>
    </row>
    <row r="559" ht="12.75" customHeight="1">
      <c r="C559" s="200"/>
      <c r="L559" s="201"/>
      <c r="M559" s="201"/>
      <c r="N559" s="201"/>
      <c r="Q559" s="202"/>
      <c r="R559" s="203"/>
    </row>
    <row r="560" ht="12.75" customHeight="1">
      <c r="C560" s="200"/>
      <c r="L560" s="201"/>
      <c r="M560" s="201"/>
      <c r="N560" s="201"/>
      <c r="Q560" s="202"/>
      <c r="R560" s="203"/>
    </row>
    <row r="561" ht="12.75" customHeight="1">
      <c r="C561" s="200"/>
      <c r="L561" s="201"/>
      <c r="M561" s="201"/>
      <c r="N561" s="201"/>
      <c r="Q561" s="202"/>
      <c r="R561" s="203"/>
    </row>
    <row r="562" ht="12.75" customHeight="1">
      <c r="C562" s="200"/>
      <c r="L562" s="201"/>
      <c r="M562" s="201"/>
      <c r="N562" s="201"/>
      <c r="Q562" s="202"/>
      <c r="R562" s="203"/>
    </row>
    <row r="563" ht="12.75" customHeight="1">
      <c r="C563" s="200"/>
      <c r="L563" s="201"/>
      <c r="M563" s="201"/>
      <c r="N563" s="201"/>
      <c r="Q563" s="202"/>
      <c r="R563" s="203"/>
    </row>
    <row r="564" ht="12.75" customHeight="1">
      <c r="C564" s="200"/>
      <c r="L564" s="201"/>
      <c r="M564" s="201"/>
      <c r="N564" s="201"/>
      <c r="Q564" s="202"/>
      <c r="R564" s="203"/>
    </row>
    <row r="565" ht="12.75" customHeight="1">
      <c r="C565" s="200"/>
      <c r="L565" s="201"/>
      <c r="M565" s="201"/>
      <c r="N565" s="201"/>
      <c r="Q565" s="202"/>
      <c r="R565" s="203"/>
    </row>
    <row r="566" ht="12.75" customHeight="1">
      <c r="C566" s="200"/>
      <c r="L566" s="201"/>
      <c r="M566" s="201"/>
      <c r="N566" s="201"/>
      <c r="Q566" s="202"/>
      <c r="R566" s="203"/>
    </row>
    <row r="567" ht="12.75" customHeight="1">
      <c r="C567" s="200"/>
      <c r="L567" s="201"/>
      <c r="M567" s="201"/>
      <c r="N567" s="201"/>
      <c r="Q567" s="202"/>
      <c r="R567" s="203"/>
    </row>
    <row r="568" ht="12.75" customHeight="1">
      <c r="C568" s="200"/>
      <c r="L568" s="201"/>
      <c r="M568" s="201"/>
      <c r="N568" s="201"/>
      <c r="Q568" s="202"/>
      <c r="R568" s="203"/>
    </row>
    <row r="569" ht="12.75" customHeight="1">
      <c r="C569" s="200"/>
      <c r="L569" s="201"/>
      <c r="M569" s="201"/>
      <c r="N569" s="201"/>
      <c r="Q569" s="202"/>
      <c r="R569" s="203"/>
    </row>
    <row r="570" ht="12.75" customHeight="1">
      <c r="C570" s="200"/>
      <c r="L570" s="201"/>
      <c r="M570" s="201"/>
      <c r="N570" s="201"/>
      <c r="Q570" s="202"/>
      <c r="R570" s="203"/>
    </row>
    <row r="571" ht="12.75" customHeight="1">
      <c r="C571" s="200"/>
      <c r="L571" s="201"/>
      <c r="M571" s="201"/>
      <c r="N571" s="201"/>
      <c r="Q571" s="202"/>
      <c r="R571" s="203"/>
    </row>
    <row r="572" ht="12.75" customHeight="1">
      <c r="C572" s="200"/>
      <c r="L572" s="201"/>
      <c r="M572" s="201"/>
      <c r="N572" s="201"/>
      <c r="Q572" s="202"/>
      <c r="R572" s="203"/>
    </row>
    <row r="573" ht="12.75" customHeight="1">
      <c r="C573" s="200"/>
      <c r="L573" s="201"/>
      <c r="M573" s="201"/>
      <c r="N573" s="201"/>
      <c r="Q573" s="202"/>
      <c r="R573" s="203"/>
    </row>
    <row r="574" ht="12.75" customHeight="1">
      <c r="C574" s="200"/>
      <c r="L574" s="201"/>
      <c r="M574" s="201"/>
      <c r="N574" s="201"/>
      <c r="Q574" s="202"/>
      <c r="R574" s="203"/>
    </row>
    <row r="575" ht="12.75" customHeight="1">
      <c r="C575" s="200"/>
      <c r="L575" s="201"/>
      <c r="M575" s="201"/>
      <c r="N575" s="201"/>
      <c r="Q575" s="202"/>
      <c r="R575" s="203"/>
    </row>
    <row r="576" ht="12.75" customHeight="1">
      <c r="C576" s="200"/>
      <c r="L576" s="201"/>
      <c r="M576" s="201"/>
      <c r="N576" s="201"/>
      <c r="Q576" s="202"/>
      <c r="R576" s="203"/>
    </row>
    <row r="577" ht="12.75" customHeight="1">
      <c r="C577" s="200"/>
      <c r="L577" s="201"/>
      <c r="M577" s="201"/>
      <c r="N577" s="201"/>
      <c r="Q577" s="202"/>
      <c r="R577" s="203"/>
    </row>
    <row r="578" ht="12.75" customHeight="1">
      <c r="C578" s="200"/>
      <c r="L578" s="201"/>
      <c r="M578" s="201"/>
      <c r="N578" s="201"/>
      <c r="Q578" s="202"/>
      <c r="R578" s="203"/>
    </row>
    <row r="579" ht="12.75" customHeight="1">
      <c r="C579" s="200"/>
      <c r="L579" s="201"/>
      <c r="M579" s="201"/>
      <c r="N579" s="201"/>
      <c r="Q579" s="202"/>
      <c r="R579" s="203"/>
    </row>
    <row r="580" ht="12.75" customHeight="1">
      <c r="C580" s="200"/>
      <c r="L580" s="201"/>
      <c r="M580" s="201"/>
      <c r="N580" s="201"/>
      <c r="Q580" s="202"/>
      <c r="R580" s="203"/>
    </row>
    <row r="581" ht="12.75" customHeight="1">
      <c r="C581" s="200"/>
      <c r="L581" s="201"/>
      <c r="M581" s="201"/>
      <c r="N581" s="201"/>
      <c r="Q581" s="202"/>
      <c r="R581" s="203"/>
    </row>
    <row r="582" ht="12.75" customHeight="1">
      <c r="C582" s="200"/>
      <c r="L582" s="201"/>
      <c r="M582" s="201"/>
      <c r="N582" s="201"/>
      <c r="Q582" s="202"/>
      <c r="R582" s="203"/>
    </row>
    <row r="583" ht="12.75" customHeight="1">
      <c r="C583" s="200"/>
      <c r="L583" s="201"/>
      <c r="M583" s="201"/>
      <c r="N583" s="201"/>
      <c r="Q583" s="202"/>
      <c r="R583" s="203"/>
    </row>
    <row r="584" ht="12.75" customHeight="1">
      <c r="C584" s="200"/>
      <c r="L584" s="201"/>
      <c r="M584" s="201"/>
      <c r="N584" s="201"/>
      <c r="Q584" s="202"/>
      <c r="R584" s="203"/>
    </row>
    <row r="585" ht="12.75" customHeight="1">
      <c r="C585" s="200"/>
      <c r="L585" s="201"/>
      <c r="M585" s="201"/>
      <c r="N585" s="201"/>
      <c r="Q585" s="202"/>
      <c r="R585" s="203"/>
    </row>
    <row r="586" ht="12.75" customHeight="1">
      <c r="C586" s="200"/>
      <c r="L586" s="201"/>
      <c r="M586" s="201"/>
      <c r="N586" s="201"/>
      <c r="Q586" s="202"/>
      <c r="R586" s="203"/>
    </row>
    <row r="587" ht="12.75" customHeight="1">
      <c r="C587" s="200"/>
      <c r="L587" s="201"/>
      <c r="M587" s="201"/>
      <c r="N587" s="201"/>
      <c r="Q587" s="202"/>
      <c r="R587" s="203"/>
    </row>
    <row r="588" ht="12.75" customHeight="1">
      <c r="C588" s="200"/>
      <c r="L588" s="201"/>
      <c r="M588" s="201"/>
      <c r="N588" s="201"/>
      <c r="Q588" s="202"/>
      <c r="R588" s="203"/>
    </row>
    <row r="589" ht="12.75" customHeight="1">
      <c r="C589" s="200"/>
      <c r="L589" s="201"/>
      <c r="M589" s="201"/>
      <c r="N589" s="201"/>
      <c r="Q589" s="202"/>
      <c r="R589" s="203"/>
    </row>
    <row r="590" ht="12.75" customHeight="1">
      <c r="C590" s="200"/>
      <c r="L590" s="201"/>
      <c r="M590" s="201"/>
      <c r="N590" s="201"/>
      <c r="Q590" s="202"/>
      <c r="R590" s="203"/>
    </row>
    <row r="591" ht="12.75" customHeight="1">
      <c r="C591" s="200"/>
      <c r="L591" s="201"/>
      <c r="M591" s="201"/>
      <c r="N591" s="201"/>
      <c r="Q591" s="202"/>
      <c r="R591" s="203"/>
    </row>
    <row r="592" ht="12.75" customHeight="1">
      <c r="C592" s="200"/>
      <c r="L592" s="201"/>
      <c r="M592" s="201"/>
      <c r="N592" s="201"/>
      <c r="Q592" s="202"/>
      <c r="R592" s="203"/>
    </row>
    <row r="593" ht="12.75" customHeight="1">
      <c r="C593" s="200"/>
      <c r="L593" s="201"/>
      <c r="M593" s="201"/>
      <c r="N593" s="201"/>
      <c r="Q593" s="202"/>
      <c r="R593" s="203"/>
    </row>
    <row r="594" ht="12.75" customHeight="1">
      <c r="C594" s="200"/>
      <c r="L594" s="201"/>
      <c r="M594" s="201"/>
      <c r="N594" s="201"/>
      <c r="Q594" s="202"/>
      <c r="R594" s="203"/>
    </row>
    <row r="595" ht="12.75" customHeight="1">
      <c r="C595" s="200"/>
      <c r="L595" s="201"/>
      <c r="M595" s="201"/>
      <c r="N595" s="201"/>
      <c r="Q595" s="202"/>
      <c r="R595" s="203"/>
    </row>
    <row r="596" ht="12.75" customHeight="1">
      <c r="C596" s="200"/>
      <c r="L596" s="201"/>
      <c r="M596" s="201"/>
      <c r="N596" s="201"/>
      <c r="Q596" s="202"/>
      <c r="R596" s="203"/>
    </row>
    <row r="597" ht="12.75" customHeight="1">
      <c r="C597" s="200"/>
      <c r="L597" s="201"/>
      <c r="M597" s="201"/>
      <c r="N597" s="201"/>
      <c r="Q597" s="202"/>
      <c r="R597" s="203"/>
    </row>
    <row r="598" ht="12.75" customHeight="1">
      <c r="C598" s="200"/>
      <c r="L598" s="201"/>
      <c r="M598" s="201"/>
      <c r="N598" s="201"/>
      <c r="Q598" s="202"/>
      <c r="R598" s="203"/>
    </row>
    <row r="599" ht="12.75" customHeight="1">
      <c r="C599" s="200"/>
      <c r="L599" s="201"/>
      <c r="M599" s="201"/>
      <c r="N599" s="201"/>
      <c r="Q599" s="202"/>
      <c r="R599" s="203"/>
    </row>
    <row r="600" ht="12.75" customHeight="1">
      <c r="C600" s="200"/>
      <c r="L600" s="201"/>
      <c r="M600" s="201"/>
      <c r="N600" s="201"/>
      <c r="Q600" s="202"/>
      <c r="R600" s="203"/>
    </row>
    <row r="601" ht="12.75" customHeight="1">
      <c r="C601" s="200"/>
      <c r="L601" s="201"/>
      <c r="M601" s="201"/>
      <c r="N601" s="201"/>
      <c r="Q601" s="202"/>
      <c r="R601" s="203"/>
    </row>
    <row r="602" ht="12.75" customHeight="1">
      <c r="C602" s="200"/>
      <c r="L602" s="201"/>
      <c r="M602" s="201"/>
      <c r="N602" s="201"/>
      <c r="Q602" s="202"/>
      <c r="R602" s="203"/>
    </row>
    <row r="603" ht="12.75" customHeight="1">
      <c r="C603" s="200"/>
      <c r="L603" s="201"/>
      <c r="M603" s="201"/>
      <c r="N603" s="201"/>
      <c r="Q603" s="202"/>
      <c r="R603" s="203"/>
    </row>
    <row r="604" ht="12.75" customHeight="1">
      <c r="C604" s="200"/>
      <c r="L604" s="201"/>
      <c r="M604" s="201"/>
      <c r="N604" s="201"/>
      <c r="Q604" s="202"/>
      <c r="R604" s="203"/>
    </row>
    <row r="605" ht="12.75" customHeight="1">
      <c r="C605" s="200"/>
      <c r="L605" s="201"/>
      <c r="M605" s="201"/>
      <c r="N605" s="201"/>
      <c r="Q605" s="202"/>
      <c r="R605" s="203"/>
    </row>
    <row r="606" ht="12.75" customHeight="1">
      <c r="C606" s="200"/>
      <c r="L606" s="201"/>
      <c r="M606" s="201"/>
      <c r="N606" s="201"/>
      <c r="Q606" s="202"/>
      <c r="R606" s="203"/>
    </row>
    <row r="607" ht="12.75" customHeight="1">
      <c r="C607" s="200"/>
      <c r="L607" s="201"/>
      <c r="M607" s="201"/>
      <c r="N607" s="201"/>
      <c r="Q607" s="202"/>
      <c r="R607" s="203"/>
    </row>
    <row r="608" ht="12.75" customHeight="1">
      <c r="C608" s="200"/>
      <c r="L608" s="201"/>
      <c r="M608" s="201"/>
      <c r="N608" s="201"/>
      <c r="Q608" s="202"/>
      <c r="R608" s="203"/>
    </row>
    <row r="609" ht="12.75" customHeight="1">
      <c r="C609" s="200"/>
      <c r="L609" s="201"/>
      <c r="M609" s="201"/>
      <c r="N609" s="201"/>
      <c r="Q609" s="202"/>
      <c r="R609" s="203"/>
    </row>
    <row r="610" ht="12.75" customHeight="1">
      <c r="C610" s="200"/>
      <c r="L610" s="201"/>
      <c r="M610" s="201"/>
      <c r="N610" s="201"/>
      <c r="Q610" s="202"/>
      <c r="R610" s="203"/>
    </row>
    <row r="611" ht="12.75" customHeight="1">
      <c r="C611" s="200"/>
      <c r="L611" s="201"/>
      <c r="M611" s="201"/>
      <c r="N611" s="201"/>
      <c r="Q611" s="202"/>
      <c r="R611" s="203"/>
    </row>
    <row r="612" ht="12.75" customHeight="1">
      <c r="C612" s="200"/>
      <c r="L612" s="201"/>
      <c r="M612" s="201"/>
      <c r="N612" s="201"/>
      <c r="Q612" s="202"/>
      <c r="R612" s="203"/>
    </row>
    <row r="613" ht="12.75" customHeight="1">
      <c r="C613" s="200"/>
      <c r="L613" s="201"/>
      <c r="M613" s="201"/>
      <c r="N613" s="201"/>
      <c r="Q613" s="202"/>
      <c r="R613" s="203"/>
    </row>
    <row r="614" ht="12.75" customHeight="1">
      <c r="C614" s="200"/>
      <c r="L614" s="201"/>
      <c r="M614" s="201"/>
      <c r="N614" s="201"/>
      <c r="Q614" s="202"/>
      <c r="R614" s="203"/>
    </row>
    <row r="615" ht="12.75" customHeight="1">
      <c r="C615" s="200"/>
      <c r="L615" s="201"/>
      <c r="M615" s="201"/>
      <c r="N615" s="201"/>
      <c r="Q615" s="202"/>
      <c r="R615" s="203"/>
    </row>
    <row r="616" ht="12.75" customHeight="1">
      <c r="C616" s="200"/>
      <c r="L616" s="201"/>
      <c r="M616" s="201"/>
      <c r="N616" s="201"/>
      <c r="Q616" s="202"/>
      <c r="R616" s="203"/>
    </row>
    <row r="617" ht="12.75" customHeight="1">
      <c r="C617" s="200"/>
      <c r="L617" s="201"/>
      <c r="M617" s="201"/>
      <c r="N617" s="201"/>
      <c r="Q617" s="202"/>
      <c r="R617" s="203"/>
    </row>
    <row r="618" ht="12.75" customHeight="1">
      <c r="C618" s="200"/>
      <c r="L618" s="201"/>
      <c r="M618" s="201"/>
      <c r="N618" s="201"/>
      <c r="Q618" s="202"/>
      <c r="R618" s="203"/>
    </row>
    <row r="619" ht="12.75" customHeight="1">
      <c r="C619" s="200"/>
      <c r="L619" s="201"/>
      <c r="M619" s="201"/>
      <c r="N619" s="201"/>
      <c r="Q619" s="202"/>
      <c r="R619" s="203"/>
    </row>
    <row r="620" ht="12.75" customHeight="1">
      <c r="C620" s="200"/>
      <c r="L620" s="201"/>
      <c r="M620" s="201"/>
      <c r="N620" s="201"/>
      <c r="Q620" s="202"/>
      <c r="R620" s="203"/>
    </row>
    <row r="621" ht="12.75" customHeight="1">
      <c r="C621" s="200"/>
      <c r="L621" s="201"/>
      <c r="M621" s="201"/>
      <c r="N621" s="201"/>
      <c r="Q621" s="202"/>
      <c r="R621" s="203"/>
    </row>
    <row r="622" ht="12.75" customHeight="1">
      <c r="C622" s="200"/>
      <c r="L622" s="201"/>
      <c r="M622" s="201"/>
      <c r="N622" s="201"/>
      <c r="Q622" s="202"/>
      <c r="R622" s="203"/>
    </row>
    <row r="623" ht="12.75" customHeight="1">
      <c r="C623" s="200"/>
      <c r="L623" s="201"/>
      <c r="M623" s="201"/>
      <c r="N623" s="201"/>
      <c r="Q623" s="202"/>
      <c r="R623" s="203"/>
    </row>
    <row r="624" ht="12.75" customHeight="1">
      <c r="C624" s="200"/>
      <c r="L624" s="201"/>
      <c r="M624" s="201"/>
      <c r="N624" s="201"/>
      <c r="Q624" s="202"/>
      <c r="R624" s="203"/>
    </row>
    <row r="625" ht="12.75" customHeight="1">
      <c r="C625" s="200"/>
      <c r="L625" s="201"/>
      <c r="M625" s="201"/>
      <c r="N625" s="201"/>
      <c r="Q625" s="202"/>
      <c r="R625" s="203"/>
    </row>
    <row r="626" ht="12.75" customHeight="1">
      <c r="C626" s="200"/>
      <c r="L626" s="201"/>
      <c r="M626" s="201"/>
      <c r="N626" s="201"/>
      <c r="Q626" s="202"/>
      <c r="R626" s="203"/>
    </row>
    <row r="627" ht="12.75" customHeight="1">
      <c r="C627" s="200"/>
      <c r="L627" s="201"/>
      <c r="M627" s="201"/>
      <c r="N627" s="201"/>
      <c r="Q627" s="202"/>
      <c r="R627" s="203"/>
    </row>
    <row r="628" ht="12.75" customHeight="1">
      <c r="C628" s="200"/>
      <c r="L628" s="201"/>
      <c r="M628" s="201"/>
      <c r="N628" s="201"/>
      <c r="Q628" s="202"/>
      <c r="R628" s="203"/>
    </row>
    <row r="629" ht="12.75" customHeight="1">
      <c r="C629" s="200"/>
      <c r="L629" s="201"/>
      <c r="M629" s="201"/>
      <c r="N629" s="201"/>
      <c r="Q629" s="202"/>
      <c r="R629" s="203"/>
    </row>
    <row r="630" ht="12.75" customHeight="1">
      <c r="C630" s="200"/>
      <c r="L630" s="201"/>
      <c r="M630" s="201"/>
      <c r="N630" s="201"/>
      <c r="Q630" s="202"/>
      <c r="R630" s="203"/>
    </row>
    <row r="631" ht="12.75" customHeight="1">
      <c r="C631" s="200"/>
      <c r="L631" s="201"/>
      <c r="M631" s="201"/>
      <c r="N631" s="201"/>
      <c r="Q631" s="202"/>
      <c r="R631" s="203"/>
    </row>
    <row r="632" ht="12.75" customHeight="1">
      <c r="C632" s="200"/>
      <c r="L632" s="201"/>
      <c r="M632" s="201"/>
      <c r="N632" s="201"/>
      <c r="Q632" s="202"/>
      <c r="R632" s="203"/>
    </row>
    <row r="633" ht="12.75" customHeight="1">
      <c r="C633" s="200"/>
      <c r="L633" s="201"/>
      <c r="M633" s="201"/>
      <c r="N633" s="201"/>
      <c r="Q633" s="202"/>
      <c r="R633" s="203"/>
    </row>
    <row r="634" ht="12.75" customHeight="1">
      <c r="C634" s="200"/>
      <c r="L634" s="201"/>
      <c r="M634" s="201"/>
      <c r="N634" s="201"/>
      <c r="Q634" s="202"/>
      <c r="R634" s="203"/>
    </row>
    <row r="635" ht="12.75" customHeight="1">
      <c r="C635" s="200"/>
      <c r="L635" s="201"/>
      <c r="M635" s="201"/>
      <c r="N635" s="201"/>
      <c r="Q635" s="202"/>
      <c r="R635" s="203"/>
    </row>
    <row r="636" ht="12.75" customHeight="1">
      <c r="C636" s="200"/>
      <c r="L636" s="201"/>
      <c r="M636" s="201"/>
      <c r="N636" s="201"/>
      <c r="Q636" s="202"/>
      <c r="R636" s="203"/>
    </row>
    <row r="637" ht="12.75" customHeight="1">
      <c r="C637" s="200"/>
      <c r="L637" s="201"/>
      <c r="M637" s="201"/>
      <c r="N637" s="201"/>
      <c r="Q637" s="202"/>
      <c r="R637" s="203"/>
    </row>
    <row r="638" ht="12.75" customHeight="1">
      <c r="C638" s="200"/>
      <c r="L638" s="201"/>
      <c r="M638" s="201"/>
      <c r="N638" s="201"/>
      <c r="Q638" s="202"/>
      <c r="R638" s="203"/>
    </row>
    <row r="639" ht="12.75" customHeight="1">
      <c r="C639" s="200"/>
      <c r="L639" s="201"/>
      <c r="M639" s="201"/>
      <c r="N639" s="201"/>
      <c r="Q639" s="202"/>
      <c r="R639" s="203"/>
    </row>
    <row r="640" ht="12.75" customHeight="1">
      <c r="C640" s="200"/>
      <c r="L640" s="201"/>
      <c r="M640" s="201"/>
      <c r="N640" s="201"/>
      <c r="Q640" s="202"/>
      <c r="R640" s="203"/>
    </row>
    <row r="641" ht="12.75" customHeight="1">
      <c r="C641" s="200"/>
      <c r="L641" s="201"/>
      <c r="M641" s="201"/>
      <c r="N641" s="201"/>
      <c r="Q641" s="202"/>
      <c r="R641" s="203"/>
    </row>
    <row r="642" ht="12.75" customHeight="1">
      <c r="C642" s="200"/>
      <c r="L642" s="201"/>
      <c r="M642" s="201"/>
      <c r="N642" s="201"/>
      <c r="Q642" s="202"/>
      <c r="R642" s="203"/>
    </row>
    <row r="643" ht="12.75" customHeight="1">
      <c r="C643" s="200"/>
      <c r="L643" s="201"/>
      <c r="M643" s="201"/>
      <c r="N643" s="201"/>
      <c r="Q643" s="202"/>
      <c r="R643" s="203"/>
    </row>
    <row r="644" ht="12.75" customHeight="1">
      <c r="C644" s="200"/>
      <c r="L644" s="201"/>
      <c r="M644" s="201"/>
      <c r="N644" s="201"/>
      <c r="Q644" s="202"/>
      <c r="R644" s="203"/>
    </row>
    <row r="645" ht="12.75" customHeight="1">
      <c r="C645" s="200"/>
      <c r="L645" s="201"/>
      <c r="M645" s="201"/>
      <c r="N645" s="201"/>
      <c r="Q645" s="202"/>
      <c r="R645" s="203"/>
    </row>
    <row r="646" ht="12.75" customHeight="1">
      <c r="C646" s="200"/>
      <c r="L646" s="201"/>
      <c r="M646" s="201"/>
      <c r="N646" s="201"/>
      <c r="Q646" s="202"/>
      <c r="R646" s="203"/>
    </row>
    <row r="647" ht="12.75" customHeight="1">
      <c r="C647" s="200"/>
      <c r="L647" s="201"/>
      <c r="M647" s="201"/>
      <c r="N647" s="201"/>
      <c r="Q647" s="202"/>
      <c r="R647" s="203"/>
    </row>
    <row r="648" ht="12.75" customHeight="1">
      <c r="C648" s="200"/>
      <c r="L648" s="201"/>
      <c r="M648" s="201"/>
      <c r="N648" s="201"/>
      <c r="Q648" s="202"/>
      <c r="R648" s="203"/>
    </row>
    <row r="649" ht="12.75" customHeight="1">
      <c r="C649" s="200"/>
      <c r="L649" s="201"/>
      <c r="M649" s="201"/>
      <c r="N649" s="201"/>
      <c r="Q649" s="202"/>
      <c r="R649" s="203"/>
    </row>
    <row r="650" ht="12.75" customHeight="1">
      <c r="C650" s="200"/>
      <c r="L650" s="201"/>
      <c r="M650" s="201"/>
      <c r="N650" s="201"/>
      <c r="Q650" s="202"/>
      <c r="R650" s="203"/>
    </row>
    <row r="651" ht="12.75" customHeight="1">
      <c r="C651" s="200"/>
      <c r="L651" s="201"/>
      <c r="M651" s="201"/>
      <c r="N651" s="201"/>
      <c r="Q651" s="202"/>
      <c r="R651" s="203"/>
    </row>
    <row r="652" ht="12.75" customHeight="1">
      <c r="C652" s="200"/>
      <c r="L652" s="201"/>
      <c r="M652" s="201"/>
      <c r="N652" s="201"/>
      <c r="Q652" s="202"/>
      <c r="R652" s="203"/>
    </row>
    <row r="653" ht="12.75" customHeight="1">
      <c r="C653" s="200"/>
      <c r="L653" s="201"/>
      <c r="M653" s="201"/>
      <c r="N653" s="201"/>
      <c r="Q653" s="202"/>
      <c r="R653" s="203"/>
    </row>
    <row r="654" ht="12.75" customHeight="1">
      <c r="C654" s="200"/>
      <c r="L654" s="201"/>
      <c r="M654" s="201"/>
      <c r="N654" s="201"/>
      <c r="Q654" s="202"/>
      <c r="R654" s="203"/>
    </row>
    <row r="655" ht="12.75" customHeight="1">
      <c r="C655" s="200"/>
      <c r="L655" s="201"/>
      <c r="M655" s="201"/>
      <c r="N655" s="201"/>
      <c r="Q655" s="202"/>
      <c r="R655" s="203"/>
    </row>
    <row r="656" ht="12.75" customHeight="1">
      <c r="C656" s="200"/>
      <c r="L656" s="201"/>
      <c r="M656" s="201"/>
      <c r="N656" s="201"/>
      <c r="Q656" s="202"/>
      <c r="R656" s="203"/>
    </row>
    <row r="657" ht="12.75" customHeight="1">
      <c r="C657" s="200"/>
      <c r="L657" s="201"/>
      <c r="M657" s="201"/>
      <c r="N657" s="201"/>
      <c r="Q657" s="202"/>
      <c r="R657" s="203"/>
    </row>
    <row r="658" ht="12.75" customHeight="1">
      <c r="C658" s="200"/>
      <c r="L658" s="201"/>
      <c r="M658" s="201"/>
      <c r="N658" s="201"/>
      <c r="Q658" s="202"/>
      <c r="R658" s="203"/>
    </row>
    <row r="659" ht="12.75" customHeight="1">
      <c r="C659" s="200"/>
      <c r="L659" s="201"/>
      <c r="M659" s="201"/>
      <c r="N659" s="201"/>
      <c r="Q659" s="202"/>
      <c r="R659" s="203"/>
    </row>
    <row r="660" ht="12.75" customHeight="1">
      <c r="C660" s="200"/>
      <c r="L660" s="201"/>
      <c r="M660" s="201"/>
      <c r="N660" s="201"/>
      <c r="Q660" s="202"/>
      <c r="R660" s="203"/>
    </row>
    <row r="661" ht="12.75" customHeight="1">
      <c r="C661" s="200"/>
      <c r="L661" s="201"/>
      <c r="M661" s="201"/>
      <c r="N661" s="201"/>
      <c r="Q661" s="202"/>
      <c r="R661" s="203"/>
    </row>
    <row r="662" ht="12.75" customHeight="1">
      <c r="C662" s="200"/>
      <c r="L662" s="201"/>
      <c r="M662" s="201"/>
      <c r="N662" s="201"/>
      <c r="Q662" s="202"/>
      <c r="R662" s="203"/>
    </row>
    <row r="663" ht="12.75" customHeight="1">
      <c r="C663" s="200"/>
      <c r="L663" s="201"/>
      <c r="M663" s="201"/>
      <c r="N663" s="201"/>
      <c r="Q663" s="202"/>
      <c r="R663" s="203"/>
    </row>
    <row r="664" ht="12.75" customHeight="1">
      <c r="C664" s="200"/>
      <c r="L664" s="201"/>
      <c r="M664" s="201"/>
      <c r="N664" s="201"/>
      <c r="Q664" s="202"/>
      <c r="R664" s="203"/>
    </row>
    <row r="665" ht="12.75" customHeight="1">
      <c r="C665" s="200"/>
      <c r="L665" s="201"/>
      <c r="M665" s="201"/>
      <c r="N665" s="201"/>
      <c r="Q665" s="202"/>
      <c r="R665" s="203"/>
    </row>
    <row r="666" ht="12.75" customHeight="1">
      <c r="C666" s="200"/>
      <c r="L666" s="201"/>
      <c r="M666" s="201"/>
      <c r="N666" s="201"/>
      <c r="Q666" s="202"/>
      <c r="R666" s="203"/>
    </row>
    <row r="667" ht="12.75" customHeight="1">
      <c r="C667" s="200"/>
      <c r="L667" s="201"/>
      <c r="M667" s="201"/>
      <c r="N667" s="201"/>
      <c r="Q667" s="202"/>
      <c r="R667" s="203"/>
    </row>
    <row r="668" ht="12.75" customHeight="1">
      <c r="C668" s="200"/>
      <c r="L668" s="201"/>
      <c r="M668" s="201"/>
      <c r="N668" s="201"/>
      <c r="Q668" s="202"/>
      <c r="R668" s="203"/>
    </row>
    <row r="669" ht="12.75" customHeight="1">
      <c r="C669" s="200"/>
      <c r="L669" s="201"/>
      <c r="M669" s="201"/>
      <c r="N669" s="201"/>
      <c r="Q669" s="202"/>
      <c r="R669" s="203"/>
    </row>
    <row r="670" ht="12.75" customHeight="1">
      <c r="C670" s="200"/>
      <c r="L670" s="201"/>
      <c r="M670" s="201"/>
      <c r="N670" s="201"/>
      <c r="Q670" s="202"/>
      <c r="R670" s="203"/>
    </row>
    <row r="671" ht="12.75" customHeight="1">
      <c r="C671" s="200"/>
      <c r="L671" s="201"/>
      <c r="M671" s="201"/>
      <c r="N671" s="201"/>
      <c r="Q671" s="202"/>
      <c r="R671" s="203"/>
    </row>
    <row r="672" ht="12.75" customHeight="1">
      <c r="C672" s="200"/>
      <c r="L672" s="201"/>
      <c r="M672" s="201"/>
      <c r="N672" s="201"/>
      <c r="Q672" s="202"/>
      <c r="R672" s="203"/>
    </row>
    <row r="673" ht="12.75" customHeight="1">
      <c r="C673" s="200"/>
      <c r="L673" s="201"/>
      <c r="M673" s="201"/>
      <c r="N673" s="201"/>
      <c r="Q673" s="202"/>
      <c r="R673" s="203"/>
    </row>
    <row r="674" ht="12.75" customHeight="1">
      <c r="C674" s="200"/>
      <c r="L674" s="201"/>
      <c r="M674" s="201"/>
      <c r="N674" s="201"/>
      <c r="Q674" s="202"/>
      <c r="R674" s="203"/>
    </row>
    <row r="675" ht="12.75" customHeight="1">
      <c r="C675" s="200"/>
      <c r="L675" s="201"/>
      <c r="M675" s="201"/>
      <c r="N675" s="201"/>
      <c r="Q675" s="202"/>
      <c r="R675" s="203"/>
    </row>
    <row r="676" ht="12.75" customHeight="1">
      <c r="C676" s="200"/>
      <c r="L676" s="201"/>
      <c r="M676" s="201"/>
      <c r="N676" s="201"/>
      <c r="Q676" s="202"/>
      <c r="R676" s="203"/>
    </row>
    <row r="677" ht="12.75" customHeight="1">
      <c r="C677" s="200"/>
      <c r="L677" s="201"/>
      <c r="M677" s="201"/>
      <c r="N677" s="201"/>
      <c r="Q677" s="202"/>
      <c r="R677" s="203"/>
    </row>
    <row r="678" ht="12.75" customHeight="1">
      <c r="C678" s="200"/>
      <c r="L678" s="201"/>
      <c r="M678" s="201"/>
      <c r="N678" s="201"/>
      <c r="Q678" s="202"/>
      <c r="R678" s="203"/>
    </row>
    <row r="679" ht="12.75" customHeight="1">
      <c r="C679" s="200"/>
      <c r="L679" s="201"/>
      <c r="M679" s="201"/>
      <c r="N679" s="201"/>
      <c r="Q679" s="202"/>
      <c r="R679" s="203"/>
    </row>
    <row r="680" ht="12.75" customHeight="1">
      <c r="C680" s="200"/>
      <c r="L680" s="201"/>
      <c r="M680" s="201"/>
      <c r="N680" s="201"/>
      <c r="Q680" s="202"/>
      <c r="R680" s="203"/>
    </row>
    <row r="681" ht="12.75" customHeight="1">
      <c r="C681" s="200"/>
      <c r="L681" s="201"/>
      <c r="M681" s="201"/>
      <c r="N681" s="201"/>
      <c r="Q681" s="202"/>
      <c r="R681" s="203"/>
    </row>
    <row r="682" ht="12.75" customHeight="1">
      <c r="C682" s="200"/>
      <c r="L682" s="201"/>
      <c r="M682" s="201"/>
      <c r="N682" s="201"/>
      <c r="Q682" s="202"/>
      <c r="R682" s="203"/>
    </row>
    <row r="683" ht="12.75" customHeight="1">
      <c r="C683" s="200"/>
      <c r="L683" s="201"/>
      <c r="M683" s="201"/>
      <c r="N683" s="201"/>
      <c r="Q683" s="202"/>
      <c r="R683" s="203"/>
    </row>
    <row r="684" ht="12.75" customHeight="1">
      <c r="C684" s="200"/>
      <c r="L684" s="201"/>
      <c r="M684" s="201"/>
      <c r="N684" s="201"/>
      <c r="Q684" s="202"/>
      <c r="R684" s="203"/>
    </row>
    <row r="685" ht="12.75" customHeight="1">
      <c r="C685" s="200"/>
      <c r="L685" s="201"/>
      <c r="M685" s="201"/>
      <c r="N685" s="201"/>
      <c r="Q685" s="202"/>
      <c r="R685" s="203"/>
    </row>
    <row r="686" ht="12.75" customHeight="1">
      <c r="C686" s="200"/>
      <c r="L686" s="201"/>
      <c r="M686" s="201"/>
      <c r="N686" s="201"/>
      <c r="Q686" s="202"/>
      <c r="R686" s="203"/>
    </row>
    <row r="687" ht="12.75" customHeight="1">
      <c r="C687" s="200"/>
      <c r="L687" s="201"/>
      <c r="M687" s="201"/>
      <c r="N687" s="201"/>
      <c r="Q687" s="202"/>
      <c r="R687" s="203"/>
    </row>
    <row r="688" ht="12.75" customHeight="1">
      <c r="C688" s="200"/>
      <c r="L688" s="201"/>
      <c r="M688" s="201"/>
      <c r="N688" s="201"/>
      <c r="Q688" s="202"/>
      <c r="R688" s="203"/>
    </row>
    <row r="689" ht="12.75" customHeight="1">
      <c r="C689" s="200"/>
      <c r="L689" s="201"/>
      <c r="M689" s="201"/>
      <c r="N689" s="201"/>
      <c r="Q689" s="202"/>
      <c r="R689" s="203"/>
    </row>
    <row r="690" ht="12.75" customHeight="1">
      <c r="C690" s="200"/>
      <c r="L690" s="201"/>
      <c r="M690" s="201"/>
      <c r="N690" s="201"/>
      <c r="Q690" s="202"/>
      <c r="R690" s="203"/>
    </row>
    <row r="691" ht="12.75" customHeight="1">
      <c r="C691" s="200"/>
      <c r="L691" s="201"/>
      <c r="M691" s="201"/>
      <c r="N691" s="201"/>
      <c r="Q691" s="202"/>
      <c r="R691" s="203"/>
    </row>
    <row r="692" ht="12.75" customHeight="1">
      <c r="C692" s="200"/>
      <c r="L692" s="201"/>
      <c r="M692" s="201"/>
      <c r="N692" s="201"/>
      <c r="Q692" s="202"/>
      <c r="R692" s="203"/>
    </row>
    <row r="693" ht="12.75" customHeight="1">
      <c r="C693" s="200"/>
      <c r="L693" s="201"/>
      <c r="M693" s="201"/>
      <c r="N693" s="201"/>
      <c r="Q693" s="202"/>
      <c r="R693" s="203"/>
    </row>
    <row r="694" ht="12.75" customHeight="1">
      <c r="C694" s="200"/>
      <c r="L694" s="201"/>
      <c r="M694" s="201"/>
      <c r="N694" s="201"/>
      <c r="Q694" s="202"/>
      <c r="R694" s="203"/>
    </row>
    <row r="695" ht="12.75" customHeight="1">
      <c r="C695" s="200"/>
      <c r="L695" s="201"/>
      <c r="M695" s="201"/>
      <c r="N695" s="201"/>
      <c r="Q695" s="202"/>
      <c r="R695" s="203"/>
    </row>
    <row r="696" ht="12.75" customHeight="1">
      <c r="C696" s="200"/>
      <c r="L696" s="201"/>
      <c r="M696" s="201"/>
      <c r="N696" s="201"/>
      <c r="Q696" s="202"/>
      <c r="R696" s="203"/>
    </row>
    <row r="697" ht="12.75" customHeight="1">
      <c r="C697" s="200"/>
      <c r="L697" s="201"/>
      <c r="M697" s="201"/>
      <c r="N697" s="201"/>
      <c r="Q697" s="202"/>
      <c r="R697" s="203"/>
    </row>
    <row r="698" ht="12.75" customHeight="1">
      <c r="C698" s="200"/>
      <c r="L698" s="201"/>
      <c r="M698" s="201"/>
      <c r="N698" s="201"/>
      <c r="Q698" s="202"/>
      <c r="R698" s="203"/>
    </row>
    <row r="699" ht="12.75" customHeight="1">
      <c r="C699" s="200"/>
      <c r="L699" s="201"/>
      <c r="M699" s="201"/>
      <c r="N699" s="201"/>
      <c r="Q699" s="202"/>
      <c r="R699" s="203"/>
    </row>
    <row r="700" ht="12.75" customHeight="1">
      <c r="C700" s="200"/>
      <c r="L700" s="201"/>
      <c r="M700" s="201"/>
      <c r="N700" s="201"/>
      <c r="Q700" s="202"/>
      <c r="R700" s="203"/>
    </row>
    <row r="701" ht="12.75" customHeight="1">
      <c r="C701" s="200"/>
      <c r="L701" s="201"/>
      <c r="M701" s="201"/>
      <c r="N701" s="201"/>
      <c r="Q701" s="202"/>
      <c r="R701" s="203"/>
    </row>
    <row r="702" ht="12.75" customHeight="1">
      <c r="C702" s="200"/>
      <c r="L702" s="201"/>
      <c r="M702" s="201"/>
      <c r="N702" s="201"/>
      <c r="Q702" s="202"/>
      <c r="R702" s="203"/>
    </row>
    <row r="703" ht="12.75" customHeight="1">
      <c r="C703" s="200"/>
      <c r="L703" s="201"/>
      <c r="M703" s="201"/>
      <c r="N703" s="201"/>
      <c r="Q703" s="202"/>
      <c r="R703" s="203"/>
    </row>
    <row r="704" ht="12.75" customHeight="1">
      <c r="C704" s="200"/>
      <c r="L704" s="201"/>
      <c r="M704" s="201"/>
      <c r="N704" s="201"/>
      <c r="Q704" s="202"/>
      <c r="R704" s="203"/>
    </row>
    <row r="705" ht="12.75" customHeight="1">
      <c r="C705" s="200"/>
      <c r="L705" s="201"/>
      <c r="M705" s="201"/>
      <c r="N705" s="201"/>
      <c r="Q705" s="202"/>
      <c r="R705" s="203"/>
    </row>
    <row r="706" ht="12.75" customHeight="1">
      <c r="C706" s="200"/>
      <c r="L706" s="201"/>
      <c r="M706" s="201"/>
      <c r="N706" s="201"/>
      <c r="Q706" s="202"/>
      <c r="R706" s="203"/>
    </row>
    <row r="707" ht="12.75" customHeight="1">
      <c r="C707" s="200"/>
      <c r="L707" s="201"/>
      <c r="M707" s="201"/>
      <c r="N707" s="201"/>
      <c r="Q707" s="202"/>
      <c r="R707" s="203"/>
    </row>
    <row r="708" ht="12.75" customHeight="1">
      <c r="C708" s="200"/>
      <c r="L708" s="201"/>
      <c r="M708" s="201"/>
      <c r="N708" s="201"/>
      <c r="Q708" s="202"/>
      <c r="R708" s="203"/>
    </row>
    <row r="709" ht="12.75" customHeight="1">
      <c r="C709" s="200"/>
      <c r="L709" s="201"/>
      <c r="M709" s="201"/>
      <c r="N709" s="201"/>
      <c r="Q709" s="202"/>
      <c r="R709" s="203"/>
    </row>
    <row r="710" ht="12.75" customHeight="1">
      <c r="C710" s="200"/>
      <c r="L710" s="201"/>
      <c r="M710" s="201"/>
      <c r="N710" s="201"/>
      <c r="Q710" s="202"/>
      <c r="R710" s="203"/>
    </row>
    <row r="711" ht="12.75" customHeight="1">
      <c r="C711" s="200"/>
      <c r="L711" s="201"/>
      <c r="M711" s="201"/>
      <c r="N711" s="201"/>
      <c r="Q711" s="202"/>
      <c r="R711" s="203"/>
    </row>
    <row r="712" ht="12.75" customHeight="1">
      <c r="C712" s="200"/>
      <c r="L712" s="201"/>
      <c r="M712" s="201"/>
      <c r="N712" s="201"/>
      <c r="Q712" s="202"/>
      <c r="R712" s="203"/>
    </row>
    <row r="713" ht="12.75" customHeight="1">
      <c r="C713" s="200"/>
      <c r="L713" s="201"/>
      <c r="M713" s="201"/>
      <c r="N713" s="201"/>
      <c r="Q713" s="202"/>
      <c r="R713" s="203"/>
    </row>
    <row r="714" ht="12.75" customHeight="1">
      <c r="C714" s="200"/>
      <c r="L714" s="201"/>
      <c r="M714" s="201"/>
      <c r="N714" s="201"/>
      <c r="Q714" s="202"/>
      <c r="R714" s="203"/>
    </row>
    <row r="715" ht="12.75" customHeight="1">
      <c r="C715" s="200"/>
      <c r="L715" s="201"/>
      <c r="M715" s="201"/>
      <c r="N715" s="201"/>
      <c r="Q715" s="202"/>
      <c r="R715" s="203"/>
    </row>
    <row r="716" ht="12.75" customHeight="1">
      <c r="C716" s="200"/>
      <c r="L716" s="201"/>
      <c r="M716" s="201"/>
      <c r="N716" s="201"/>
      <c r="Q716" s="202"/>
      <c r="R716" s="203"/>
    </row>
    <row r="717" ht="12.75" customHeight="1">
      <c r="C717" s="200"/>
      <c r="L717" s="201"/>
      <c r="M717" s="201"/>
      <c r="N717" s="201"/>
      <c r="Q717" s="202"/>
      <c r="R717" s="203"/>
    </row>
    <row r="718" ht="12.75" customHeight="1">
      <c r="C718" s="200"/>
      <c r="L718" s="201"/>
      <c r="M718" s="201"/>
      <c r="N718" s="201"/>
      <c r="Q718" s="202"/>
      <c r="R718" s="203"/>
    </row>
    <row r="719" ht="12.75" customHeight="1">
      <c r="C719" s="200"/>
      <c r="L719" s="201"/>
      <c r="M719" s="201"/>
      <c r="N719" s="201"/>
      <c r="Q719" s="202"/>
      <c r="R719" s="203"/>
    </row>
    <row r="720" ht="12.75" customHeight="1">
      <c r="C720" s="200"/>
      <c r="L720" s="201"/>
      <c r="M720" s="201"/>
      <c r="N720" s="201"/>
      <c r="Q720" s="202"/>
      <c r="R720" s="203"/>
    </row>
    <row r="721" ht="12.75" customHeight="1">
      <c r="C721" s="200"/>
      <c r="L721" s="201"/>
      <c r="M721" s="201"/>
      <c r="N721" s="201"/>
      <c r="Q721" s="202"/>
      <c r="R721" s="203"/>
    </row>
    <row r="722" ht="12.75" customHeight="1">
      <c r="C722" s="200"/>
      <c r="L722" s="201"/>
      <c r="M722" s="201"/>
      <c r="N722" s="201"/>
      <c r="Q722" s="202"/>
      <c r="R722" s="203"/>
    </row>
    <row r="723" ht="12.75" customHeight="1">
      <c r="C723" s="200"/>
      <c r="L723" s="201"/>
      <c r="M723" s="201"/>
      <c r="N723" s="201"/>
      <c r="Q723" s="202"/>
      <c r="R723" s="203"/>
    </row>
    <row r="724" ht="12.75" customHeight="1">
      <c r="C724" s="200"/>
      <c r="L724" s="201"/>
      <c r="M724" s="201"/>
      <c r="N724" s="201"/>
      <c r="Q724" s="202"/>
      <c r="R724" s="203"/>
    </row>
    <row r="725" ht="12.75" customHeight="1">
      <c r="C725" s="200"/>
      <c r="L725" s="201"/>
      <c r="M725" s="201"/>
      <c r="N725" s="201"/>
      <c r="Q725" s="202"/>
      <c r="R725" s="203"/>
    </row>
    <row r="726" ht="12.75" customHeight="1">
      <c r="C726" s="200"/>
      <c r="L726" s="201"/>
      <c r="M726" s="201"/>
      <c r="N726" s="201"/>
      <c r="Q726" s="202"/>
      <c r="R726" s="203"/>
    </row>
    <row r="727" ht="12.75" customHeight="1">
      <c r="C727" s="200"/>
      <c r="L727" s="201"/>
      <c r="M727" s="201"/>
      <c r="N727" s="201"/>
      <c r="Q727" s="202"/>
      <c r="R727" s="203"/>
    </row>
    <row r="728" ht="12.75" customHeight="1">
      <c r="C728" s="200"/>
      <c r="L728" s="201"/>
      <c r="M728" s="201"/>
      <c r="N728" s="201"/>
      <c r="Q728" s="202"/>
      <c r="R728" s="203"/>
    </row>
    <row r="729" ht="12.75" customHeight="1">
      <c r="C729" s="200"/>
      <c r="L729" s="201"/>
      <c r="M729" s="201"/>
      <c r="N729" s="201"/>
      <c r="Q729" s="202"/>
      <c r="R729" s="203"/>
    </row>
    <row r="730" ht="12.75" customHeight="1">
      <c r="C730" s="200"/>
      <c r="L730" s="201"/>
      <c r="M730" s="201"/>
      <c r="N730" s="201"/>
      <c r="Q730" s="202"/>
      <c r="R730" s="203"/>
    </row>
    <row r="731" ht="12.75" customHeight="1">
      <c r="C731" s="200"/>
      <c r="L731" s="201"/>
      <c r="M731" s="201"/>
      <c r="N731" s="201"/>
      <c r="Q731" s="202"/>
      <c r="R731" s="203"/>
    </row>
    <row r="732" ht="12.75" customHeight="1">
      <c r="C732" s="200"/>
      <c r="L732" s="201"/>
      <c r="M732" s="201"/>
      <c r="N732" s="201"/>
      <c r="Q732" s="202"/>
      <c r="R732" s="203"/>
    </row>
    <row r="733" ht="12.75" customHeight="1">
      <c r="C733" s="200"/>
      <c r="L733" s="201"/>
      <c r="M733" s="201"/>
      <c r="N733" s="201"/>
      <c r="Q733" s="202"/>
      <c r="R733" s="203"/>
    </row>
    <row r="734" ht="12.75" customHeight="1">
      <c r="C734" s="200"/>
      <c r="L734" s="201"/>
      <c r="M734" s="201"/>
      <c r="N734" s="201"/>
      <c r="Q734" s="202"/>
      <c r="R734" s="203"/>
    </row>
    <row r="735" ht="12.75" customHeight="1">
      <c r="C735" s="200"/>
      <c r="L735" s="201"/>
      <c r="M735" s="201"/>
      <c r="N735" s="201"/>
      <c r="Q735" s="202"/>
      <c r="R735" s="203"/>
    </row>
    <row r="736" ht="12.75" customHeight="1">
      <c r="C736" s="200"/>
      <c r="L736" s="201"/>
      <c r="M736" s="201"/>
      <c r="N736" s="201"/>
      <c r="Q736" s="202"/>
      <c r="R736" s="203"/>
    </row>
    <row r="737" ht="12.75" customHeight="1">
      <c r="C737" s="200"/>
      <c r="L737" s="201"/>
      <c r="M737" s="201"/>
      <c r="N737" s="201"/>
      <c r="Q737" s="202"/>
      <c r="R737" s="203"/>
    </row>
    <row r="738" ht="12.75" customHeight="1">
      <c r="C738" s="200"/>
      <c r="L738" s="201"/>
      <c r="M738" s="201"/>
      <c r="N738" s="201"/>
      <c r="Q738" s="202"/>
      <c r="R738" s="203"/>
    </row>
    <row r="739" ht="12.75" customHeight="1">
      <c r="C739" s="200"/>
      <c r="L739" s="201"/>
      <c r="M739" s="201"/>
      <c r="N739" s="201"/>
      <c r="Q739" s="202"/>
      <c r="R739" s="203"/>
    </row>
    <row r="740" ht="12.75" customHeight="1">
      <c r="C740" s="200"/>
      <c r="L740" s="201"/>
      <c r="M740" s="201"/>
      <c r="N740" s="201"/>
      <c r="Q740" s="202"/>
      <c r="R740" s="203"/>
    </row>
    <row r="741" ht="12.75" customHeight="1">
      <c r="C741" s="200"/>
      <c r="L741" s="201"/>
      <c r="M741" s="201"/>
      <c r="N741" s="201"/>
      <c r="Q741" s="202"/>
      <c r="R741" s="203"/>
    </row>
    <row r="742" ht="12.75" customHeight="1">
      <c r="C742" s="200"/>
      <c r="L742" s="201"/>
      <c r="M742" s="201"/>
      <c r="N742" s="201"/>
      <c r="Q742" s="202"/>
      <c r="R742" s="203"/>
    </row>
    <row r="743" ht="12.75" customHeight="1">
      <c r="C743" s="200"/>
      <c r="L743" s="201"/>
      <c r="M743" s="201"/>
      <c r="N743" s="201"/>
      <c r="Q743" s="202"/>
      <c r="R743" s="203"/>
    </row>
    <row r="744" ht="12.75" customHeight="1">
      <c r="C744" s="200"/>
      <c r="L744" s="201"/>
      <c r="M744" s="201"/>
      <c r="N744" s="201"/>
      <c r="Q744" s="202"/>
      <c r="R744" s="203"/>
    </row>
    <row r="745" ht="12.75" customHeight="1">
      <c r="C745" s="200"/>
      <c r="L745" s="201"/>
      <c r="M745" s="201"/>
      <c r="N745" s="201"/>
      <c r="Q745" s="202"/>
      <c r="R745" s="203"/>
    </row>
    <row r="746" ht="12.75" customHeight="1">
      <c r="C746" s="200"/>
      <c r="L746" s="201"/>
      <c r="M746" s="201"/>
      <c r="N746" s="201"/>
      <c r="Q746" s="202"/>
      <c r="R746" s="203"/>
    </row>
    <row r="747" ht="12.75" customHeight="1">
      <c r="C747" s="200"/>
      <c r="L747" s="201"/>
      <c r="M747" s="201"/>
      <c r="N747" s="201"/>
      <c r="Q747" s="202"/>
      <c r="R747" s="203"/>
    </row>
    <row r="748" ht="12.75" customHeight="1">
      <c r="C748" s="200"/>
      <c r="L748" s="201"/>
      <c r="M748" s="201"/>
      <c r="N748" s="201"/>
      <c r="Q748" s="202"/>
      <c r="R748" s="203"/>
    </row>
    <row r="749" ht="12.75" customHeight="1">
      <c r="C749" s="200"/>
      <c r="L749" s="201"/>
      <c r="M749" s="201"/>
      <c r="N749" s="201"/>
      <c r="Q749" s="202"/>
      <c r="R749" s="203"/>
    </row>
    <row r="750" ht="12.75" customHeight="1">
      <c r="C750" s="200"/>
      <c r="L750" s="201"/>
      <c r="M750" s="201"/>
      <c r="N750" s="201"/>
      <c r="Q750" s="202"/>
      <c r="R750" s="203"/>
    </row>
    <row r="751" ht="12.75" customHeight="1">
      <c r="C751" s="200"/>
      <c r="L751" s="201"/>
      <c r="M751" s="201"/>
      <c r="N751" s="201"/>
      <c r="Q751" s="202"/>
      <c r="R751" s="203"/>
    </row>
    <row r="752" ht="12.75" customHeight="1">
      <c r="C752" s="200"/>
      <c r="L752" s="201"/>
      <c r="M752" s="201"/>
      <c r="N752" s="201"/>
      <c r="Q752" s="202"/>
      <c r="R752" s="203"/>
    </row>
    <row r="753" ht="12.75" customHeight="1">
      <c r="C753" s="200"/>
      <c r="L753" s="201"/>
      <c r="M753" s="201"/>
      <c r="N753" s="201"/>
      <c r="Q753" s="202"/>
      <c r="R753" s="203"/>
    </row>
    <row r="754" ht="12.75" customHeight="1">
      <c r="C754" s="200"/>
      <c r="L754" s="201"/>
      <c r="M754" s="201"/>
      <c r="N754" s="201"/>
      <c r="Q754" s="202"/>
      <c r="R754" s="203"/>
    </row>
    <row r="755" ht="12.75" customHeight="1">
      <c r="C755" s="200"/>
      <c r="L755" s="201"/>
      <c r="M755" s="201"/>
      <c r="N755" s="201"/>
      <c r="Q755" s="202"/>
      <c r="R755" s="203"/>
    </row>
    <row r="756" ht="12.75" customHeight="1">
      <c r="C756" s="200"/>
      <c r="L756" s="201"/>
      <c r="M756" s="201"/>
      <c r="N756" s="201"/>
      <c r="Q756" s="202"/>
      <c r="R756" s="203"/>
    </row>
    <row r="757" ht="12.75" customHeight="1">
      <c r="C757" s="200"/>
      <c r="L757" s="201"/>
      <c r="M757" s="201"/>
      <c r="N757" s="201"/>
      <c r="Q757" s="202"/>
      <c r="R757" s="203"/>
    </row>
    <row r="758" ht="12.75" customHeight="1">
      <c r="C758" s="200"/>
      <c r="L758" s="201"/>
      <c r="M758" s="201"/>
      <c r="N758" s="201"/>
      <c r="Q758" s="202"/>
      <c r="R758" s="203"/>
    </row>
    <row r="759" ht="12.75" customHeight="1">
      <c r="C759" s="200"/>
      <c r="L759" s="201"/>
      <c r="M759" s="201"/>
      <c r="N759" s="201"/>
      <c r="Q759" s="202"/>
      <c r="R759" s="203"/>
    </row>
    <row r="760" ht="12.75" customHeight="1">
      <c r="C760" s="200"/>
      <c r="L760" s="201"/>
      <c r="M760" s="201"/>
      <c r="N760" s="201"/>
      <c r="Q760" s="202"/>
      <c r="R760" s="203"/>
    </row>
    <row r="761" ht="12.75" customHeight="1">
      <c r="C761" s="200"/>
      <c r="L761" s="201"/>
      <c r="M761" s="201"/>
      <c r="N761" s="201"/>
      <c r="Q761" s="202"/>
      <c r="R761" s="203"/>
    </row>
    <row r="762" ht="12.75" customHeight="1">
      <c r="C762" s="200"/>
      <c r="L762" s="201"/>
      <c r="M762" s="201"/>
      <c r="N762" s="201"/>
      <c r="Q762" s="202"/>
      <c r="R762" s="203"/>
    </row>
    <row r="763" ht="12.75" customHeight="1">
      <c r="C763" s="200"/>
      <c r="L763" s="201"/>
      <c r="M763" s="201"/>
      <c r="N763" s="201"/>
      <c r="Q763" s="202"/>
      <c r="R763" s="203"/>
    </row>
    <row r="764" ht="12.75" customHeight="1">
      <c r="C764" s="200"/>
      <c r="L764" s="201"/>
      <c r="M764" s="201"/>
      <c r="N764" s="201"/>
      <c r="Q764" s="202"/>
      <c r="R764" s="203"/>
    </row>
    <row r="765" ht="12.75" customHeight="1">
      <c r="C765" s="200"/>
      <c r="L765" s="201"/>
      <c r="M765" s="201"/>
      <c r="N765" s="201"/>
      <c r="Q765" s="202"/>
      <c r="R765" s="203"/>
    </row>
    <row r="766" ht="12.75" customHeight="1">
      <c r="C766" s="200"/>
      <c r="L766" s="201"/>
      <c r="M766" s="201"/>
      <c r="N766" s="201"/>
      <c r="Q766" s="202"/>
      <c r="R766" s="203"/>
    </row>
    <row r="767" ht="12.75" customHeight="1">
      <c r="C767" s="200"/>
      <c r="L767" s="201"/>
      <c r="M767" s="201"/>
      <c r="N767" s="201"/>
      <c r="Q767" s="202"/>
      <c r="R767" s="203"/>
    </row>
    <row r="768" ht="12.75" customHeight="1">
      <c r="C768" s="200"/>
      <c r="L768" s="201"/>
      <c r="M768" s="201"/>
      <c r="N768" s="201"/>
      <c r="Q768" s="202"/>
      <c r="R768" s="203"/>
    </row>
    <row r="769" ht="12.75" customHeight="1">
      <c r="C769" s="200"/>
      <c r="L769" s="201"/>
      <c r="M769" s="201"/>
      <c r="N769" s="201"/>
      <c r="Q769" s="202"/>
      <c r="R769" s="203"/>
    </row>
    <row r="770" ht="12.75" customHeight="1">
      <c r="C770" s="200"/>
      <c r="L770" s="201"/>
      <c r="M770" s="201"/>
      <c r="N770" s="201"/>
      <c r="Q770" s="202"/>
      <c r="R770" s="203"/>
    </row>
    <row r="771" ht="12.75" customHeight="1">
      <c r="C771" s="200"/>
      <c r="L771" s="201"/>
      <c r="M771" s="201"/>
      <c r="N771" s="201"/>
      <c r="Q771" s="202"/>
      <c r="R771" s="203"/>
    </row>
    <row r="772" ht="12.75" customHeight="1">
      <c r="C772" s="200"/>
      <c r="L772" s="201"/>
      <c r="M772" s="201"/>
      <c r="N772" s="201"/>
      <c r="Q772" s="202"/>
      <c r="R772" s="203"/>
    </row>
    <row r="773" ht="12.75" customHeight="1">
      <c r="C773" s="200"/>
      <c r="L773" s="201"/>
      <c r="M773" s="201"/>
      <c r="N773" s="201"/>
      <c r="Q773" s="202"/>
      <c r="R773" s="203"/>
    </row>
    <row r="774" ht="12.75" customHeight="1">
      <c r="C774" s="200"/>
      <c r="L774" s="201"/>
      <c r="M774" s="201"/>
      <c r="N774" s="201"/>
      <c r="Q774" s="202"/>
      <c r="R774" s="203"/>
    </row>
    <row r="775" ht="12.75" customHeight="1">
      <c r="C775" s="200"/>
      <c r="L775" s="201"/>
      <c r="M775" s="201"/>
      <c r="N775" s="201"/>
      <c r="Q775" s="202"/>
      <c r="R775" s="203"/>
    </row>
    <row r="776" ht="12.75" customHeight="1">
      <c r="C776" s="200"/>
      <c r="L776" s="201"/>
      <c r="M776" s="201"/>
      <c r="N776" s="201"/>
      <c r="Q776" s="202"/>
      <c r="R776" s="203"/>
    </row>
    <row r="777" ht="12.75" customHeight="1">
      <c r="C777" s="200"/>
      <c r="L777" s="201"/>
      <c r="M777" s="201"/>
      <c r="N777" s="201"/>
      <c r="Q777" s="202"/>
      <c r="R777" s="203"/>
    </row>
    <row r="778" ht="12.75" customHeight="1">
      <c r="C778" s="200"/>
      <c r="L778" s="201"/>
      <c r="M778" s="201"/>
      <c r="N778" s="201"/>
      <c r="Q778" s="202"/>
      <c r="R778" s="203"/>
    </row>
    <row r="779" ht="12.75" customHeight="1">
      <c r="C779" s="200"/>
      <c r="L779" s="201"/>
      <c r="M779" s="201"/>
      <c r="N779" s="201"/>
      <c r="Q779" s="202"/>
      <c r="R779" s="203"/>
    </row>
    <row r="780" ht="12.75" customHeight="1">
      <c r="C780" s="200"/>
      <c r="L780" s="201"/>
      <c r="M780" s="201"/>
      <c r="N780" s="201"/>
      <c r="Q780" s="202"/>
      <c r="R780" s="203"/>
    </row>
    <row r="781" ht="12.75" customHeight="1">
      <c r="C781" s="200"/>
      <c r="L781" s="201"/>
      <c r="M781" s="201"/>
      <c r="N781" s="201"/>
      <c r="Q781" s="202"/>
      <c r="R781" s="203"/>
    </row>
    <row r="782" ht="12.75" customHeight="1">
      <c r="C782" s="200"/>
      <c r="L782" s="201"/>
      <c r="M782" s="201"/>
      <c r="N782" s="201"/>
      <c r="Q782" s="202"/>
      <c r="R782" s="203"/>
    </row>
    <row r="783" ht="12.75" customHeight="1">
      <c r="C783" s="200"/>
      <c r="L783" s="201"/>
      <c r="M783" s="201"/>
      <c r="N783" s="201"/>
      <c r="Q783" s="202"/>
      <c r="R783" s="203"/>
    </row>
    <row r="784" ht="12.75" customHeight="1">
      <c r="C784" s="200"/>
      <c r="L784" s="201"/>
      <c r="M784" s="201"/>
      <c r="N784" s="201"/>
      <c r="Q784" s="202"/>
      <c r="R784" s="203"/>
    </row>
    <row r="785" ht="12.75" customHeight="1">
      <c r="C785" s="200"/>
      <c r="L785" s="201"/>
      <c r="M785" s="201"/>
      <c r="N785" s="201"/>
      <c r="Q785" s="202"/>
      <c r="R785" s="203"/>
    </row>
    <row r="786" ht="12.75" customHeight="1">
      <c r="C786" s="200"/>
      <c r="L786" s="201"/>
      <c r="M786" s="201"/>
      <c r="N786" s="201"/>
      <c r="Q786" s="202"/>
      <c r="R786" s="203"/>
    </row>
    <row r="787" ht="12.75" customHeight="1">
      <c r="C787" s="200"/>
      <c r="L787" s="201"/>
      <c r="M787" s="201"/>
      <c r="N787" s="201"/>
      <c r="Q787" s="202"/>
      <c r="R787" s="203"/>
    </row>
    <row r="788" ht="12.75" customHeight="1">
      <c r="C788" s="200"/>
      <c r="L788" s="201"/>
      <c r="M788" s="201"/>
      <c r="N788" s="201"/>
      <c r="Q788" s="202"/>
      <c r="R788" s="203"/>
    </row>
    <row r="789" ht="12.75" customHeight="1">
      <c r="C789" s="200"/>
      <c r="L789" s="201"/>
      <c r="M789" s="201"/>
      <c r="N789" s="201"/>
      <c r="Q789" s="202"/>
      <c r="R789" s="203"/>
    </row>
    <row r="790" ht="12.75" customHeight="1">
      <c r="C790" s="200"/>
      <c r="L790" s="201"/>
      <c r="M790" s="201"/>
      <c r="N790" s="201"/>
      <c r="Q790" s="202"/>
      <c r="R790" s="203"/>
    </row>
    <row r="791" ht="12.75" customHeight="1">
      <c r="C791" s="200"/>
      <c r="L791" s="201"/>
      <c r="M791" s="201"/>
      <c r="N791" s="201"/>
      <c r="Q791" s="202"/>
      <c r="R791" s="203"/>
    </row>
    <row r="792" ht="12.75" customHeight="1">
      <c r="C792" s="200"/>
      <c r="L792" s="201"/>
      <c r="M792" s="201"/>
      <c r="N792" s="201"/>
      <c r="Q792" s="202"/>
      <c r="R792" s="203"/>
    </row>
    <row r="793" ht="12.75" customHeight="1">
      <c r="C793" s="200"/>
      <c r="L793" s="201"/>
      <c r="M793" s="201"/>
      <c r="N793" s="201"/>
      <c r="Q793" s="202"/>
      <c r="R793" s="203"/>
    </row>
    <row r="794" ht="12.75" customHeight="1">
      <c r="C794" s="200"/>
      <c r="L794" s="201"/>
      <c r="M794" s="201"/>
      <c r="N794" s="201"/>
      <c r="Q794" s="202"/>
      <c r="R794" s="203"/>
    </row>
    <row r="795" ht="12.75" customHeight="1">
      <c r="C795" s="200"/>
      <c r="L795" s="201"/>
      <c r="M795" s="201"/>
      <c r="N795" s="201"/>
      <c r="Q795" s="202"/>
      <c r="R795" s="203"/>
    </row>
    <row r="796" ht="12.75" customHeight="1">
      <c r="C796" s="200"/>
      <c r="L796" s="201"/>
      <c r="M796" s="201"/>
      <c r="N796" s="201"/>
      <c r="Q796" s="202"/>
      <c r="R796" s="203"/>
    </row>
    <row r="797" ht="12.75" customHeight="1">
      <c r="C797" s="200"/>
      <c r="L797" s="201"/>
      <c r="M797" s="201"/>
      <c r="N797" s="201"/>
      <c r="Q797" s="202"/>
      <c r="R797" s="203"/>
    </row>
    <row r="798" ht="12.75" customHeight="1">
      <c r="C798" s="200"/>
      <c r="L798" s="201"/>
      <c r="M798" s="201"/>
      <c r="N798" s="201"/>
      <c r="Q798" s="202"/>
      <c r="R798" s="203"/>
    </row>
    <row r="799" ht="12.75" customHeight="1">
      <c r="C799" s="200"/>
      <c r="L799" s="201"/>
      <c r="M799" s="201"/>
      <c r="N799" s="201"/>
      <c r="Q799" s="202"/>
      <c r="R799" s="203"/>
    </row>
    <row r="800" ht="12.75" customHeight="1">
      <c r="C800" s="200"/>
      <c r="L800" s="201"/>
      <c r="M800" s="201"/>
      <c r="N800" s="201"/>
      <c r="Q800" s="202"/>
      <c r="R800" s="203"/>
    </row>
    <row r="801" ht="12.75" customHeight="1">
      <c r="C801" s="200"/>
      <c r="L801" s="201"/>
      <c r="M801" s="201"/>
      <c r="N801" s="201"/>
      <c r="Q801" s="202"/>
      <c r="R801" s="203"/>
    </row>
    <row r="802" ht="12.75" customHeight="1">
      <c r="C802" s="200"/>
      <c r="L802" s="201"/>
      <c r="M802" s="201"/>
      <c r="N802" s="201"/>
      <c r="Q802" s="202"/>
      <c r="R802" s="203"/>
    </row>
    <row r="803" ht="12.75" customHeight="1">
      <c r="C803" s="200"/>
      <c r="L803" s="201"/>
      <c r="M803" s="201"/>
      <c r="N803" s="201"/>
      <c r="Q803" s="202"/>
      <c r="R803" s="203"/>
    </row>
    <row r="804" ht="12.75" customHeight="1">
      <c r="C804" s="200"/>
      <c r="L804" s="201"/>
      <c r="M804" s="201"/>
      <c r="N804" s="201"/>
      <c r="Q804" s="202"/>
      <c r="R804" s="203"/>
    </row>
    <row r="805" ht="12.75" customHeight="1">
      <c r="C805" s="200"/>
      <c r="L805" s="201"/>
      <c r="M805" s="201"/>
      <c r="N805" s="201"/>
      <c r="Q805" s="202"/>
      <c r="R805" s="203"/>
    </row>
    <row r="806" ht="12.75" customHeight="1">
      <c r="C806" s="200"/>
      <c r="L806" s="201"/>
      <c r="M806" s="201"/>
      <c r="N806" s="201"/>
      <c r="Q806" s="202"/>
      <c r="R806" s="203"/>
    </row>
    <row r="807" ht="12.75" customHeight="1">
      <c r="C807" s="200"/>
      <c r="L807" s="201"/>
      <c r="M807" s="201"/>
      <c r="N807" s="201"/>
      <c r="Q807" s="202"/>
      <c r="R807" s="203"/>
    </row>
    <row r="808" ht="12.75" customHeight="1">
      <c r="C808" s="200"/>
      <c r="L808" s="201"/>
      <c r="M808" s="201"/>
      <c r="N808" s="201"/>
      <c r="Q808" s="202"/>
      <c r="R808" s="203"/>
    </row>
    <row r="809" ht="12.75" customHeight="1">
      <c r="C809" s="200"/>
      <c r="L809" s="201"/>
      <c r="M809" s="201"/>
      <c r="N809" s="201"/>
      <c r="Q809" s="202"/>
      <c r="R809" s="203"/>
    </row>
    <row r="810" ht="12.75" customHeight="1">
      <c r="C810" s="200"/>
      <c r="L810" s="201"/>
      <c r="M810" s="201"/>
      <c r="N810" s="201"/>
      <c r="Q810" s="202"/>
      <c r="R810" s="203"/>
    </row>
    <row r="811" ht="12.75" customHeight="1">
      <c r="C811" s="200"/>
      <c r="L811" s="201"/>
      <c r="M811" s="201"/>
      <c r="N811" s="201"/>
      <c r="Q811" s="202"/>
      <c r="R811" s="203"/>
    </row>
    <row r="812" ht="12.75" customHeight="1">
      <c r="C812" s="200"/>
      <c r="L812" s="201"/>
      <c r="M812" s="201"/>
      <c r="N812" s="201"/>
      <c r="Q812" s="202"/>
      <c r="R812" s="203"/>
    </row>
    <row r="813" ht="12.75" customHeight="1">
      <c r="C813" s="200"/>
      <c r="L813" s="201"/>
      <c r="M813" s="201"/>
      <c r="N813" s="201"/>
      <c r="Q813" s="202"/>
      <c r="R813" s="203"/>
    </row>
    <row r="814" ht="12.75" customHeight="1">
      <c r="C814" s="200"/>
      <c r="L814" s="201"/>
      <c r="M814" s="201"/>
      <c r="N814" s="201"/>
      <c r="Q814" s="202"/>
      <c r="R814" s="203"/>
    </row>
    <row r="815" ht="12.75" customHeight="1">
      <c r="C815" s="200"/>
      <c r="L815" s="201"/>
      <c r="M815" s="201"/>
      <c r="N815" s="201"/>
      <c r="Q815" s="202"/>
      <c r="R815" s="203"/>
    </row>
    <row r="816" ht="12.75" customHeight="1">
      <c r="C816" s="200"/>
      <c r="L816" s="201"/>
      <c r="M816" s="201"/>
      <c r="N816" s="201"/>
      <c r="Q816" s="202"/>
      <c r="R816" s="203"/>
    </row>
    <row r="817" ht="12.75" customHeight="1">
      <c r="C817" s="200"/>
      <c r="L817" s="201"/>
      <c r="M817" s="201"/>
      <c r="N817" s="201"/>
      <c r="Q817" s="202"/>
      <c r="R817" s="203"/>
    </row>
    <row r="818" ht="12.75" customHeight="1">
      <c r="C818" s="200"/>
      <c r="L818" s="201"/>
      <c r="M818" s="201"/>
      <c r="N818" s="201"/>
      <c r="Q818" s="202"/>
      <c r="R818" s="203"/>
    </row>
    <row r="819" ht="12.75" customHeight="1">
      <c r="C819" s="200"/>
      <c r="L819" s="201"/>
      <c r="M819" s="201"/>
      <c r="N819" s="201"/>
      <c r="Q819" s="202"/>
      <c r="R819" s="203"/>
    </row>
    <row r="820" ht="12.75" customHeight="1">
      <c r="C820" s="200"/>
      <c r="L820" s="201"/>
      <c r="M820" s="201"/>
      <c r="N820" s="201"/>
      <c r="Q820" s="202"/>
      <c r="R820" s="203"/>
    </row>
    <row r="821" ht="12.75" customHeight="1">
      <c r="C821" s="200"/>
      <c r="L821" s="201"/>
      <c r="M821" s="201"/>
      <c r="N821" s="201"/>
      <c r="Q821" s="202"/>
      <c r="R821" s="203"/>
    </row>
    <row r="822" ht="12.75" customHeight="1">
      <c r="C822" s="200"/>
      <c r="L822" s="201"/>
      <c r="M822" s="201"/>
      <c r="N822" s="201"/>
      <c r="Q822" s="202"/>
      <c r="R822" s="203"/>
    </row>
    <row r="823" ht="12.75" customHeight="1">
      <c r="C823" s="200"/>
      <c r="L823" s="201"/>
      <c r="M823" s="201"/>
      <c r="N823" s="201"/>
      <c r="Q823" s="202"/>
      <c r="R823" s="203"/>
    </row>
    <row r="824" ht="12.75" customHeight="1">
      <c r="C824" s="200"/>
      <c r="L824" s="201"/>
      <c r="M824" s="201"/>
      <c r="N824" s="201"/>
      <c r="Q824" s="202"/>
      <c r="R824" s="203"/>
    </row>
    <row r="825" ht="12.75" customHeight="1">
      <c r="C825" s="200"/>
      <c r="L825" s="201"/>
      <c r="M825" s="201"/>
      <c r="N825" s="201"/>
      <c r="Q825" s="202"/>
      <c r="R825" s="203"/>
    </row>
    <row r="826" ht="12.75" customHeight="1">
      <c r="C826" s="200"/>
      <c r="L826" s="201"/>
      <c r="M826" s="201"/>
      <c r="N826" s="201"/>
      <c r="Q826" s="202"/>
      <c r="R826" s="203"/>
    </row>
    <row r="827" ht="12.75" customHeight="1">
      <c r="C827" s="200"/>
      <c r="L827" s="201"/>
      <c r="M827" s="201"/>
      <c r="N827" s="201"/>
      <c r="Q827" s="202"/>
      <c r="R827" s="203"/>
    </row>
    <row r="828" ht="12.75" customHeight="1">
      <c r="C828" s="200"/>
      <c r="L828" s="201"/>
      <c r="M828" s="201"/>
      <c r="N828" s="201"/>
      <c r="Q828" s="202"/>
      <c r="R828" s="203"/>
    </row>
    <row r="829" ht="12.75" customHeight="1">
      <c r="C829" s="200"/>
      <c r="L829" s="201"/>
      <c r="M829" s="201"/>
      <c r="N829" s="201"/>
      <c r="Q829" s="202"/>
      <c r="R829" s="203"/>
    </row>
    <row r="830" ht="12.75" customHeight="1">
      <c r="C830" s="200"/>
      <c r="L830" s="201"/>
      <c r="M830" s="201"/>
      <c r="N830" s="201"/>
      <c r="Q830" s="202"/>
      <c r="R830" s="203"/>
    </row>
    <row r="831" ht="12.75" customHeight="1">
      <c r="C831" s="200"/>
      <c r="L831" s="201"/>
      <c r="M831" s="201"/>
      <c r="N831" s="201"/>
      <c r="Q831" s="202"/>
      <c r="R831" s="203"/>
    </row>
    <row r="832" ht="12.75" customHeight="1">
      <c r="C832" s="200"/>
      <c r="L832" s="201"/>
      <c r="M832" s="201"/>
      <c r="N832" s="201"/>
      <c r="Q832" s="202"/>
      <c r="R832" s="203"/>
    </row>
    <row r="833" ht="12.75" customHeight="1">
      <c r="C833" s="200"/>
      <c r="L833" s="201"/>
      <c r="M833" s="201"/>
      <c r="N833" s="201"/>
      <c r="Q833" s="202"/>
      <c r="R833" s="203"/>
    </row>
    <row r="834" ht="12.75" customHeight="1">
      <c r="C834" s="200"/>
      <c r="L834" s="201"/>
      <c r="M834" s="201"/>
      <c r="N834" s="201"/>
      <c r="Q834" s="202"/>
      <c r="R834" s="203"/>
    </row>
    <row r="835" ht="12.75" customHeight="1">
      <c r="C835" s="200"/>
      <c r="L835" s="201"/>
      <c r="M835" s="201"/>
      <c r="N835" s="201"/>
      <c r="Q835" s="202"/>
      <c r="R835" s="203"/>
    </row>
    <row r="836" ht="12.75" customHeight="1">
      <c r="C836" s="200"/>
      <c r="L836" s="201"/>
      <c r="M836" s="201"/>
      <c r="N836" s="201"/>
      <c r="Q836" s="202"/>
      <c r="R836" s="203"/>
    </row>
    <row r="837" ht="12.75" customHeight="1">
      <c r="C837" s="200"/>
      <c r="L837" s="201"/>
      <c r="M837" s="201"/>
      <c r="N837" s="201"/>
      <c r="Q837" s="202"/>
      <c r="R837" s="203"/>
    </row>
    <row r="838" ht="12.75" customHeight="1">
      <c r="C838" s="200"/>
      <c r="L838" s="201"/>
      <c r="M838" s="201"/>
      <c r="N838" s="201"/>
      <c r="Q838" s="202"/>
      <c r="R838" s="203"/>
    </row>
    <row r="839" ht="12.75" customHeight="1">
      <c r="C839" s="200"/>
      <c r="L839" s="201"/>
      <c r="M839" s="201"/>
      <c r="N839" s="201"/>
      <c r="Q839" s="202"/>
      <c r="R839" s="203"/>
    </row>
    <row r="840" ht="12.75" customHeight="1">
      <c r="C840" s="200"/>
      <c r="L840" s="201"/>
      <c r="M840" s="201"/>
      <c r="N840" s="201"/>
      <c r="Q840" s="202"/>
      <c r="R840" s="203"/>
    </row>
    <row r="841" ht="12.75" customHeight="1">
      <c r="C841" s="200"/>
      <c r="L841" s="201"/>
      <c r="M841" s="201"/>
      <c r="N841" s="201"/>
      <c r="Q841" s="202"/>
      <c r="R841" s="203"/>
    </row>
    <row r="842" ht="12.75" customHeight="1">
      <c r="C842" s="200"/>
      <c r="L842" s="201"/>
      <c r="M842" s="201"/>
      <c r="N842" s="201"/>
      <c r="Q842" s="202"/>
      <c r="R842" s="203"/>
    </row>
    <row r="843" ht="12.75" customHeight="1">
      <c r="C843" s="200"/>
      <c r="L843" s="201"/>
      <c r="M843" s="201"/>
      <c r="N843" s="201"/>
      <c r="Q843" s="202"/>
      <c r="R843" s="203"/>
    </row>
    <row r="844" ht="12.75" customHeight="1">
      <c r="C844" s="200"/>
      <c r="L844" s="201"/>
      <c r="M844" s="201"/>
      <c r="N844" s="201"/>
      <c r="Q844" s="202"/>
      <c r="R844" s="203"/>
    </row>
    <row r="845" ht="12.75" customHeight="1">
      <c r="C845" s="200"/>
      <c r="L845" s="201"/>
      <c r="M845" s="201"/>
      <c r="N845" s="201"/>
      <c r="Q845" s="202"/>
      <c r="R845" s="203"/>
    </row>
    <row r="846" ht="12.75" customHeight="1">
      <c r="C846" s="200"/>
      <c r="L846" s="201"/>
      <c r="M846" s="201"/>
      <c r="N846" s="201"/>
      <c r="Q846" s="202"/>
      <c r="R846" s="203"/>
    </row>
    <row r="847" ht="12.75" customHeight="1">
      <c r="C847" s="200"/>
      <c r="L847" s="201"/>
      <c r="M847" s="201"/>
      <c r="N847" s="201"/>
      <c r="Q847" s="202"/>
      <c r="R847" s="203"/>
    </row>
    <row r="848" ht="12.75" customHeight="1">
      <c r="C848" s="200"/>
      <c r="L848" s="201"/>
      <c r="M848" s="201"/>
      <c r="N848" s="201"/>
      <c r="Q848" s="202"/>
      <c r="R848" s="203"/>
    </row>
    <row r="849" ht="12.75" customHeight="1">
      <c r="C849" s="200"/>
      <c r="L849" s="201"/>
      <c r="M849" s="201"/>
      <c r="N849" s="201"/>
      <c r="Q849" s="202"/>
      <c r="R849" s="203"/>
    </row>
    <row r="850" ht="12.75" customHeight="1">
      <c r="C850" s="200"/>
      <c r="L850" s="201"/>
      <c r="M850" s="201"/>
      <c r="N850" s="201"/>
      <c r="Q850" s="202"/>
      <c r="R850" s="203"/>
    </row>
    <row r="851" ht="12.75" customHeight="1">
      <c r="C851" s="200"/>
      <c r="L851" s="201"/>
      <c r="M851" s="201"/>
      <c r="N851" s="201"/>
      <c r="Q851" s="202"/>
      <c r="R851" s="203"/>
    </row>
    <row r="852" ht="12.75" customHeight="1">
      <c r="C852" s="200"/>
      <c r="L852" s="201"/>
      <c r="M852" s="201"/>
      <c r="N852" s="201"/>
      <c r="Q852" s="202"/>
      <c r="R852" s="203"/>
    </row>
    <row r="853" ht="12.75" customHeight="1">
      <c r="C853" s="200"/>
      <c r="L853" s="201"/>
      <c r="M853" s="201"/>
      <c r="N853" s="201"/>
      <c r="Q853" s="202"/>
      <c r="R853" s="203"/>
    </row>
    <row r="854" ht="12.75" customHeight="1">
      <c r="C854" s="200"/>
      <c r="L854" s="201"/>
      <c r="M854" s="201"/>
      <c r="N854" s="201"/>
      <c r="Q854" s="202"/>
      <c r="R854" s="203"/>
    </row>
    <row r="855" ht="12.75" customHeight="1">
      <c r="C855" s="200"/>
      <c r="L855" s="201"/>
      <c r="M855" s="201"/>
      <c r="N855" s="201"/>
      <c r="Q855" s="202"/>
      <c r="R855" s="203"/>
    </row>
    <row r="856" ht="12.75" customHeight="1">
      <c r="C856" s="200"/>
      <c r="L856" s="201"/>
      <c r="M856" s="201"/>
      <c r="N856" s="201"/>
      <c r="Q856" s="202"/>
      <c r="R856" s="203"/>
    </row>
    <row r="857" ht="12.75" customHeight="1">
      <c r="C857" s="200"/>
      <c r="L857" s="201"/>
      <c r="M857" s="201"/>
      <c r="N857" s="201"/>
      <c r="Q857" s="202"/>
      <c r="R857" s="203"/>
    </row>
    <row r="858" ht="12.75" customHeight="1">
      <c r="C858" s="200"/>
      <c r="L858" s="201"/>
      <c r="M858" s="201"/>
      <c r="N858" s="201"/>
      <c r="Q858" s="202"/>
      <c r="R858" s="203"/>
    </row>
    <row r="859" ht="12.75" customHeight="1">
      <c r="C859" s="200"/>
      <c r="L859" s="201"/>
      <c r="M859" s="201"/>
      <c r="N859" s="201"/>
      <c r="Q859" s="202"/>
      <c r="R859" s="203"/>
    </row>
    <row r="860" ht="12.75" customHeight="1">
      <c r="C860" s="200"/>
      <c r="L860" s="201"/>
      <c r="M860" s="201"/>
      <c r="N860" s="201"/>
      <c r="Q860" s="202"/>
      <c r="R860" s="203"/>
    </row>
    <row r="861" ht="12.75" customHeight="1">
      <c r="C861" s="200"/>
      <c r="L861" s="201"/>
      <c r="M861" s="201"/>
      <c r="N861" s="201"/>
      <c r="Q861" s="202"/>
      <c r="R861" s="203"/>
    </row>
    <row r="862" ht="12.75" customHeight="1">
      <c r="C862" s="200"/>
      <c r="L862" s="201"/>
      <c r="M862" s="201"/>
      <c r="N862" s="201"/>
      <c r="Q862" s="202"/>
      <c r="R862" s="203"/>
    </row>
    <row r="863" ht="12.75" customHeight="1">
      <c r="C863" s="200"/>
      <c r="L863" s="201"/>
      <c r="M863" s="201"/>
      <c r="N863" s="201"/>
      <c r="Q863" s="202"/>
      <c r="R863" s="203"/>
    </row>
    <row r="864" ht="12.75" customHeight="1">
      <c r="C864" s="200"/>
      <c r="L864" s="201"/>
      <c r="M864" s="201"/>
      <c r="N864" s="201"/>
      <c r="Q864" s="202"/>
      <c r="R864" s="203"/>
    </row>
    <row r="865" ht="12.75" customHeight="1">
      <c r="C865" s="200"/>
      <c r="L865" s="201"/>
      <c r="M865" s="201"/>
      <c r="N865" s="201"/>
      <c r="Q865" s="202"/>
      <c r="R865" s="203"/>
    </row>
    <row r="866" ht="12.75" customHeight="1">
      <c r="C866" s="200"/>
      <c r="L866" s="201"/>
      <c r="M866" s="201"/>
      <c r="N866" s="201"/>
      <c r="Q866" s="202"/>
      <c r="R866" s="203"/>
    </row>
    <row r="867" ht="12.75" customHeight="1">
      <c r="C867" s="200"/>
      <c r="L867" s="201"/>
      <c r="M867" s="201"/>
      <c r="N867" s="201"/>
      <c r="Q867" s="202"/>
      <c r="R867" s="203"/>
    </row>
    <row r="868" ht="12.75" customHeight="1">
      <c r="C868" s="200"/>
      <c r="L868" s="201"/>
      <c r="M868" s="201"/>
      <c r="N868" s="201"/>
      <c r="Q868" s="202"/>
      <c r="R868" s="203"/>
    </row>
    <row r="869" ht="12.75" customHeight="1">
      <c r="C869" s="200"/>
      <c r="L869" s="201"/>
      <c r="M869" s="201"/>
      <c r="N869" s="201"/>
      <c r="Q869" s="202"/>
      <c r="R869" s="203"/>
    </row>
    <row r="870" ht="12.75" customHeight="1">
      <c r="C870" s="200"/>
      <c r="L870" s="201"/>
      <c r="M870" s="201"/>
      <c r="N870" s="201"/>
      <c r="Q870" s="202"/>
      <c r="R870" s="203"/>
    </row>
    <row r="871" ht="12.75" customHeight="1">
      <c r="C871" s="200"/>
      <c r="L871" s="201"/>
      <c r="M871" s="201"/>
      <c r="N871" s="201"/>
      <c r="Q871" s="202"/>
      <c r="R871" s="203"/>
    </row>
    <row r="872" ht="12.75" customHeight="1">
      <c r="C872" s="200"/>
      <c r="L872" s="201"/>
      <c r="M872" s="201"/>
      <c r="N872" s="201"/>
      <c r="Q872" s="202"/>
      <c r="R872" s="203"/>
    </row>
    <row r="873" ht="12.75" customHeight="1">
      <c r="C873" s="200"/>
      <c r="L873" s="201"/>
      <c r="M873" s="201"/>
      <c r="N873" s="201"/>
      <c r="Q873" s="202"/>
      <c r="R873" s="203"/>
    </row>
    <row r="874" ht="12.75" customHeight="1">
      <c r="C874" s="200"/>
      <c r="L874" s="201"/>
      <c r="M874" s="201"/>
      <c r="N874" s="201"/>
      <c r="Q874" s="202"/>
      <c r="R874" s="203"/>
    </row>
    <row r="875" ht="12.75" customHeight="1">
      <c r="C875" s="200"/>
      <c r="L875" s="201"/>
      <c r="M875" s="201"/>
      <c r="N875" s="201"/>
      <c r="Q875" s="202"/>
      <c r="R875" s="203"/>
    </row>
    <row r="876" ht="12.75" customHeight="1">
      <c r="C876" s="200"/>
      <c r="L876" s="201"/>
      <c r="M876" s="201"/>
      <c r="N876" s="201"/>
      <c r="Q876" s="202"/>
      <c r="R876" s="203"/>
    </row>
    <row r="877" ht="12.75" customHeight="1">
      <c r="C877" s="200"/>
      <c r="L877" s="201"/>
      <c r="M877" s="201"/>
      <c r="N877" s="201"/>
      <c r="Q877" s="202"/>
      <c r="R877" s="203"/>
    </row>
    <row r="878" ht="12.75" customHeight="1">
      <c r="C878" s="200"/>
      <c r="L878" s="201"/>
      <c r="M878" s="201"/>
      <c r="N878" s="201"/>
      <c r="Q878" s="202"/>
      <c r="R878" s="203"/>
    </row>
    <row r="879" ht="12.75" customHeight="1">
      <c r="C879" s="200"/>
      <c r="L879" s="201"/>
      <c r="M879" s="201"/>
      <c r="N879" s="201"/>
      <c r="Q879" s="202"/>
      <c r="R879" s="203"/>
    </row>
    <row r="880" ht="12.75" customHeight="1">
      <c r="C880" s="200"/>
      <c r="L880" s="201"/>
      <c r="M880" s="201"/>
      <c r="N880" s="201"/>
      <c r="Q880" s="202"/>
      <c r="R880" s="203"/>
    </row>
    <row r="881" ht="12.75" customHeight="1">
      <c r="C881" s="200"/>
      <c r="L881" s="201"/>
      <c r="M881" s="201"/>
      <c r="N881" s="201"/>
      <c r="Q881" s="202"/>
      <c r="R881" s="203"/>
    </row>
    <row r="882" ht="12.75" customHeight="1">
      <c r="C882" s="200"/>
      <c r="L882" s="201"/>
      <c r="M882" s="201"/>
      <c r="N882" s="201"/>
      <c r="Q882" s="202"/>
      <c r="R882" s="203"/>
    </row>
    <row r="883" ht="12.75" customHeight="1">
      <c r="C883" s="200"/>
      <c r="L883" s="201"/>
      <c r="M883" s="201"/>
      <c r="N883" s="201"/>
      <c r="Q883" s="202"/>
      <c r="R883" s="203"/>
    </row>
    <row r="884" ht="12.75" customHeight="1">
      <c r="C884" s="200"/>
      <c r="L884" s="201"/>
      <c r="M884" s="201"/>
      <c r="N884" s="201"/>
      <c r="Q884" s="202"/>
      <c r="R884" s="203"/>
    </row>
    <row r="885" ht="12.75" customHeight="1">
      <c r="C885" s="200"/>
      <c r="L885" s="201"/>
      <c r="M885" s="201"/>
      <c r="N885" s="201"/>
      <c r="Q885" s="202"/>
      <c r="R885" s="203"/>
    </row>
    <row r="886" ht="12.75" customHeight="1">
      <c r="C886" s="200"/>
      <c r="L886" s="201"/>
      <c r="M886" s="201"/>
      <c r="N886" s="201"/>
      <c r="Q886" s="202"/>
      <c r="R886" s="203"/>
    </row>
    <row r="887" ht="12.75" customHeight="1">
      <c r="C887" s="200"/>
      <c r="L887" s="201"/>
      <c r="M887" s="201"/>
      <c r="N887" s="201"/>
      <c r="Q887" s="202"/>
      <c r="R887" s="203"/>
    </row>
    <row r="888" ht="12.75" customHeight="1">
      <c r="C888" s="200"/>
      <c r="L888" s="201"/>
      <c r="M888" s="201"/>
      <c r="N888" s="201"/>
      <c r="Q888" s="202"/>
      <c r="R888" s="203"/>
    </row>
    <row r="889" ht="12.75" customHeight="1">
      <c r="C889" s="200"/>
      <c r="L889" s="201"/>
      <c r="M889" s="201"/>
      <c r="N889" s="201"/>
      <c r="Q889" s="202"/>
      <c r="R889" s="203"/>
    </row>
    <row r="890" ht="12.75" customHeight="1">
      <c r="C890" s="200"/>
      <c r="L890" s="201"/>
      <c r="M890" s="201"/>
      <c r="N890" s="201"/>
      <c r="Q890" s="202"/>
      <c r="R890" s="203"/>
    </row>
    <row r="891" ht="12.75" customHeight="1">
      <c r="C891" s="200"/>
      <c r="L891" s="201"/>
      <c r="M891" s="201"/>
      <c r="N891" s="201"/>
      <c r="Q891" s="202"/>
      <c r="R891" s="203"/>
    </row>
    <row r="892" ht="12.75" customHeight="1">
      <c r="C892" s="200"/>
      <c r="L892" s="201"/>
      <c r="M892" s="201"/>
      <c r="N892" s="201"/>
      <c r="Q892" s="202"/>
      <c r="R892" s="203"/>
    </row>
    <row r="893" ht="12.75" customHeight="1">
      <c r="C893" s="200"/>
      <c r="L893" s="201"/>
      <c r="M893" s="201"/>
      <c r="N893" s="201"/>
      <c r="Q893" s="202"/>
      <c r="R893" s="203"/>
    </row>
    <row r="894" ht="12.75" customHeight="1">
      <c r="C894" s="200"/>
      <c r="L894" s="201"/>
      <c r="M894" s="201"/>
      <c r="N894" s="201"/>
      <c r="Q894" s="202"/>
      <c r="R894" s="203"/>
    </row>
    <row r="895" ht="12.75" customHeight="1">
      <c r="C895" s="200"/>
      <c r="L895" s="201"/>
      <c r="M895" s="201"/>
      <c r="N895" s="201"/>
      <c r="Q895" s="202"/>
      <c r="R895" s="203"/>
    </row>
    <row r="896" ht="12.75" customHeight="1">
      <c r="C896" s="200"/>
      <c r="L896" s="201"/>
      <c r="M896" s="201"/>
      <c r="N896" s="201"/>
      <c r="Q896" s="202"/>
      <c r="R896" s="203"/>
    </row>
    <row r="897" ht="12.75" customHeight="1">
      <c r="C897" s="200"/>
      <c r="L897" s="201"/>
      <c r="M897" s="201"/>
      <c r="N897" s="201"/>
      <c r="Q897" s="202"/>
      <c r="R897" s="203"/>
    </row>
    <row r="898" ht="12.75" customHeight="1">
      <c r="C898" s="200"/>
      <c r="L898" s="201"/>
      <c r="M898" s="201"/>
      <c r="N898" s="201"/>
      <c r="Q898" s="202"/>
      <c r="R898" s="203"/>
    </row>
    <row r="899" ht="12.75" customHeight="1">
      <c r="C899" s="200"/>
      <c r="L899" s="201"/>
      <c r="M899" s="201"/>
      <c r="N899" s="201"/>
      <c r="Q899" s="202"/>
      <c r="R899" s="203"/>
    </row>
    <row r="900" ht="12.75" customHeight="1">
      <c r="C900" s="200"/>
      <c r="L900" s="201"/>
      <c r="M900" s="201"/>
      <c r="N900" s="201"/>
      <c r="Q900" s="202"/>
      <c r="R900" s="203"/>
    </row>
    <row r="901" ht="12.75" customHeight="1">
      <c r="C901" s="200"/>
      <c r="L901" s="201"/>
      <c r="M901" s="201"/>
      <c r="N901" s="201"/>
      <c r="Q901" s="202"/>
      <c r="R901" s="203"/>
    </row>
    <row r="902" ht="12.75" customHeight="1">
      <c r="C902" s="200"/>
      <c r="L902" s="201"/>
      <c r="M902" s="201"/>
      <c r="N902" s="201"/>
      <c r="Q902" s="202"/>
      <c r="R902" s="203"/>
    </row>
    <row r="903" ht="12.75" customHeight="1">
      <c r="C903" s="200"/>
      <c r="L903" s="201"/>
      <c r="M903" s="201"/>
      <c r="N903" s="201"/>
      <c r="Q903" s="202"/>
      <c r="R903" s="203"/>
    </row>
    <row r="904" ht="12.75" customHeight="1">
      <c r="C904" s="200"/>
      <c r="L904" s="201"/>
      <c r="M904" s="201"/>
      <c r="N904" s="201"/>
      <c r="Q904" s="202"/>
      <c r="R904" s="203"/>
    </row>
    <row r="905" ht="12.75" customHeight="1">
      <c r="C905" s="200"/>
      <c r="L905" s="201"/>
      <c r="M905" s="201"/>
      <c r="N905" s="201"/>
      <c r="Q905" s="202"/>
      <c r="R905" s="203"/>
    </row>
    <row r="906" ht="12.75" customHeight="1">
      <c r="C906" s="200"/>
      <c r="L906" s="201"/>
      <c r="M906" s="201"/>
      <c r="N906" s="201"/>
      <c r="Q906" s="202"/>
      <c r="R906" s="203"/>
    </row>
    <row r="907" ht="12.75" customHeight="1">
      <c r="C907" s="200"/>
      <c r="L907" s="201"/>
      <c r="M907" s="201"/>
      <c r="N907" s="201"/>
      <c r="Q907" s="202"/>
      <c r="R907" s="203"/>
    </row>
    <row r="908" ht="12.75" customHeight="1">
      <c r="C908" s="200"/>
      <c r="L908" s="201"/>
      <c r="M908" s="201"/>
      <c r="N908" s="201"/>
      <c r="Q908" s="202"/>
      <c r="R908" s="203"/>
    </row>
    <row r="909" ht="12.75" customHeight="1">
      <c r="C909" s="200"/>
      <c r="L909" s="201"/>
      <c r="M909" s="201"/>
      <c r="N909" s="201"/>
      <c r="Q909" s="202"/>
      <c r="R909" s="203"/>
    </row>
    <row r="910" ht="12.75" customHeight="1">
      <c r="C910" s="200"/>
      <c r="L910" s="201"/>
      <c r="M910" s="201"/>
      <c r="N910" s="201"/>
      <c r="Q910" s="202"/>
      <c r="R910" s="203"/>
    </row>
    <row r="911" ht="12.75" customHeight="1">
      <c r="C911" s="200"/>
      <c r="L911" s="201"/>
      <c r="M911" s="201"/>
      <c r="N911" s="201"/>
      <c r="Q911" s="202"/>
      <c r="R911" s="203"/>
    </row>
    <row r="912" ht="12.75" customHeight="1">
      <c r="C912" s="200"/>
      <c r="L912" s="201"/>
      <c r="M912" s="201"/>
      <c r="N912" s="201"/>
      <c r="Q912" s="202"/>
      <c r="R912" s="203"/>
    </row>
    <row r="913" ht="12.75" customHeight="1">
      <c r="C913" s="200"/>
      <c r="L913" s="201"/>
      <c r="M913" s="201"/>
      <c r="N913" s="201"/>
      <c r="Q913" s="202"/>
      <c r="R913" s="203"/>
    </row>
    <row r="914" ht="12.75" customHeight="1">
      <c r="C914" s="200"/>
      <c r="L914" s="201"/>
      <c r="M914" s="201"/>
      <c r="N914" s="201"/>
      <c r="Q914" s="202"/>
      <c r="R914" s="203"/>
    </row>
    <row r="915" ht="12.75" customHeight="1">
      <c r="C915" s="200"/>
      <c r="L915" s="201"/>
      <c r="M915" s="201"/>
      <c r="N915" s="201"/>
      <c r="Q915" s="202"/>
      <c r="R915" s="203"/>
    </row>
    <row r="916" ht="12.75" customHeight="1">
      <c r="C916" s="200"/>
      <c r="L916" s="201"/>
      <c r="M916" s="201"/>
      <c r="N916" s="201"/>
      <c r="Q916" s="202"/>
      <c r="R916" s="203"/>
    </row>
    <row r="917" ht="12.75" customHeight="1">
      <c r="C917" s="200"/>
      <c r="L917" s="201"/>
      <c r="M917" s="201"/>
      <c r="N917" s="201"/>
      <c r="Q917" s="202"/>
      <c r="R917" s="203"/>
    </row>
    <row r="918" ht="12.75" customHeight="1">
      <c r="C918" s="200"/>
      <c r="L918" s="201"/>
      <c r="M918" s="201"/>
      <c r="N918" s="201"/>
      <c r="Q918" s="202"/>
      <c r="R918" s="203"/>
    </row>
    <row r="919" ht="12.75" customHeight="1">
      <c r="C919" s="200"/>
      <c r="L919" s="201"/>
      <c r="M919" s="201"/>
      <c r="N919" s="201"/>
      <c r="Q919" s="202"/>
      <c r="R919" s="203"/>
    </row>
    <row r="920" ht="12.75" customHeight="1">
      <c r="C920" s="200"/>
      <c r="L920" s="201"/>
      <c r="M920" s="201"/>
      <c r="N920" s="201"/>
      <c r="Q920" s="202"/>
      <c r="R920" s="203"/>
    </row>
    <row r="921" ht="12.75" customHeight="1">
      <c r="C921" s="200"/>
      <c r="L921" s="201"/>
      <c r="M921" s="201"/>
      <c r="N921" s="201"/>
      <c r="Q921" s="202"/>
      <c r="R921" s="203"/>
    </row>
    <row r="922" ht="12.75" customHeight="1">
      <c r="C922" s="200"/>
      <c r="L922" s="201"/>
      <c r="M922" s="201"/>
      <c r="N922" s="201"/>
      <c r="Q922" s="202"/>
      <c r="R922" s="203"/>
    </row>
    <row r="923" ht="12.75" customHeight="1">
      <c r="C923" s="200"/>
      <c r="L923" s="201"/>
      <c r="M923" s="201"/>
      <c r="N923" s="201"/>
      <c r="Q923" s="202"/>
      <c r="R923" s="203"/>
    </row>
    <row r="924" ht="12.75" customHeight="1">
      <c r="C924" s="200"/>
      <c r="L924" s="201"/>
      <c r="M924" s="201"/>
      <c r="N924" s="201"/>
      <c r="Q924" s="202"/>
      <c r="R924" s="203"/>
    </row>
    <row r="925" ht="12.75" customHeight="1">
      <c r="C925" s="200"/>
      <c r="L925" s="201"/>
      <c r="M925" s="201"/>
      <c r="N925" s="201"/>
      <c r="Q925" s="202"/>
      <c r="R925" s="203"/>
    </row>
    <row r="926" ht="12.75" customHeight="1">
      <c r="C926" s="200"/>
      <c r="L926" s="201"/>
      <c r="M926" s="201"/>
      <c r="N926" s="201"/>
      <c r="Q926" s="202"/>
      <c r="R926" s="203"/>
    </row>
    <row r="927" ht="12.75" customHeight="1">
      <c r="C927" s="200"/>
      <c r="L927" s="201"/>
      <c r="M927" s="201"/>
      <c r="N927" s="201"/>
      <c r="Q927" s="202"/>
      <c r="R927" s="203"/>
    </row>
    <row r="928" ht="12.75" customHeight="1">
      <c r="C928" s="200"/>
      <c r="L928" s="201"/>
      <c r="M928" s="201"/>
      <c r="N928" s="201"/>
      <c r="Q928" s="202"/>
      <c r="R928" s="203"/>
    </row>
    <row r="929" ht="12.75" customHeight="1">
      <c r="C929" s="200"/>
      <c r="L929" s="201"/>
      <c r="M929" s="201"/>
      <c r="N929" s="201"/>
      <c r="Q929" s="202"/>
      <c r="R929" s="203"/>
    </row>
    <row r="930" ht="12.75" customHeight="1">
      <c r="C930" s="200"/>
      <c r="L930" s="201"/>
      <c r="M930" s="201"/>
      <c r="N930" s="201"/>
      <c r="Q930" s="202"/>
      <c r="R930" s="203"/>
    </row>
    <row r="931" ht="12.75" customHeight="1">
      <c r="C931" s="200"/>
      <c r="L931" s="201"/>
      <c r="M931" s="201"/>
      <c r="N931" s="201"/>
      <c r="Q931" s="202"/>
      <c r="R931" s="203"/>
    </row>
    <row r="932" ht="12.75" customHeight="1">
      <c r="C932" s="200"/>
      <c r="L932" s="201"/>
      <c r="M932" s="201"/>
      <c r="N932" s="201"/>
      <c r="Q932" s="202"/>
      <c r="R932" s="203"/>
    </row>
    <row r="933" ht="12.75" customHeight="1">
      <c r="C933" s="200"/>
      <c r="L933" s="201"/>
      <c r="M933" s="201"/>
      <c r="N933" s="201"/>
      <c r="Q933" s="202"/>
      <c r="R933" s="203"/>
    </row>
    <row r="934" ht="12.75" customHeight="1">
      <c r="C934" s="200"/>
      <c r="L934" s="201"/>
      <c r="M934" s="201"/>
      <c r="N934" s="201"/>
      <c r="Q934" s="202"/>
      <c r="R934" s="203"/>
    </row>
    <row r="935" ht="12.75" customHeight="1">
      <c r="C935" s="200"/>
      <c r="L935" s="201"/>
      <c r="M935" s="201"/>
      <c r="N935" s="201"/>
      <c r="Q935" s="202"/>
      <c r="R935" s="203"/>
    </row>
    <row r="936" ht="12.75" customHeight="1">
      <c r="C936" s="200"/>
      <c r="L936" s="201"/>
      <c r="M936" s="201"/>
      <c r="N936" s="201"/>
      <c r="Q936" s="202"/>
      <c r="R936" s="203"/>
    </row>
    <row r="937" ht="12.75" customHeight="1">
      <c r="C937" s="200"/>
      <c r="L937" s="201"/>
      <c r="M937" s="201"/>
      <c r="N937" s="201"/>
      <c r="Q937" s="202"/>
      <c r="R937" s="203"/>
    </row>
    <row r="938" ht="12.75" customHeight="1">
      <c r="C938" s="200"/>
      <c r="L938" s="201"/>
      <c r="M938" s="201"/>
      <c r="N938" s="201"/>
      <c r="Q938" s="202"/>
      <c r="R938" s="203"/>
    </row>
    <row r="939" ht="12.75" customHeight="1">
      <c r="C939" s="200"/>
      <c r="L939" s="201"/>
      <c r="M939" s="201"/>
      <c r="N939" s="201"/>
      <c r="Q939" s="202"/>
      <c r="R939" s="203"/>
    </row>
    <row r="940" ht="12.75" customHeight="1">
      <c r="C940" s="200"/>
      <c r="L940" s="201"/>
      <c r="M940" s="201"/>
      <c r="N940" s="201"/>
      <c r="Q940" s="202"/>
      <c r="R940" s="203"/>
    </row>
    <row r="941" ht="12.75" customHeight="1">
      <c r="C941" s="200"/>
      <c r="L941" s="201"/>
      <c r="M941" s="201"/>
      <c r="N941" s="201"/>
      <c r="Q941" s="202"/>
      <c r="R941" s="203"/>
    </row>
    <row r="942" ht="12.75" customHeight="1">
      <c r="C942" s="200"/>
      <c r="L942" s="201"/>
      <c r="M942" s="201"/>
      <c r="N942" s="201"/>
      <c r="Q942" s="202"/>
      <c r="R942" s="203"/>
    </row>
    <row r="943" ht="12.75" customHeight="1">
      <c r="C943" s="200"/>
      <c r="L943" s="201"/>
      <c r="M943" s="201"/>
      <c r="N943" s="201"/>
      <c r="Q943" s="202"/>
      <c r="R943" s="203"/>
    </row>
    <row r="944" ht="12.75" customHeight="1">
      <c r="C944" s="200"/>
      <c r="L944" s="201"/>
      <c r="M944" s="201"/>
      <c r="N944" s="201"/>
      <c r="Q944" s="202"/>
      <c r="R944" s="203"/>
    </row>
    <row r="945" ht="12.75" customHeight="1">
      <c r="C945" s="200"/>
      <c r="L945" s="201"/>
      <c r="M945" s="201"/>
      <c r="N945" s="201"/>
      <c r="Q945" s="202"/>
      <c r="R945" s="203"/>
    </row>
    <row r="946" ht="12.75" customHeight="1">
      <c r="C946" s="200"/>
      <c r="L946" s="201"/>
      <c r="M946" s="201"/>
      <c r="N946" s="201"/>
      <c r="Q946" s="202"/>
      <c r="R946" s="203"/>
    </row>
    <row r="947" ht="12.75" customHeight="1">
      <c r="C947" s="200"/>
      <c r="L947" s="201"/>
      <c r="M947" s="201"/>
      <c r="N947" s="201"/>
      <c r="Q947" s="202"/>
      <c r="R947" s="203"/>
    </row>
    <row r="948" ht="12.75" customHeight="1">
      <c r="C948" s="200"/>
      <c r="L948" s="201"/>
      <c r="M948" s="201"/>
      <c r="N948" s="201"/>
      <c r="Q948" s="202"/>
      <c r="R948" s="203"/>
    </row>
    <row r="949" ht="12.75" customHeight="1">
      <c r="C949" s="200"/>
      <c r="L949" s="201"/>
      <c r="M949" s="201"/>
      <c r="N949" s="201"/>
      <c r="Q949" s="202"/>
      <c r="R949" s="203"/>
    </row>
    <row r="950" ht="12.75" customHeight="1">
      <c r="C950" s="200"/>
      <c r="L950" s="201"/>
      <c r="M950" s="201"/>
      <c r="N950" s="201"/>
      <c r="Q950" s="202"/>
      <c r="R950" s="203"/>
    </row>
    <row r="951" ht="12.75" customHeight="1">
      <c r="C951" s="200"/>
      <c r="L951" s="201"/>
      <c r="M951" s="201"/>
      <c r="N951" s="201"/>
      <c r="Q951" s="202"/>
      <c r="R951" s="203"/>
    </row>
    <row r="952" ht="12.75" customHeight="1">
      <c r="C952" s="200"/>
      <c r="L952" s="201"/>
      <c r="M952" s="201"/>
      <c r="N952" s="201"/>
      <c r="Q952" s="202"/>
      <c r="R952" s="203"/>
    </row>
    <row r="953" ht="12.75" customHeight="1">
      <c r="C953" s="200"/>
      <c r="L953" s="201"/>
      <c r="M953" s="201"/>
      <c r="N953" s="201"/>
      <c r="Q953" s="202"/>
      <c r="R953" s="203"/>
    </row>
    <row r="954" ht="12.75" customHeight="1">
      <c r="C954" s="200"/>
      <c r="L954" s="201"/>
      <c r="M954" s="201"/>
      <c r="N954" s="201"/>
      <c r="Q954" s="202"/>
      <c r="R954" s="203"/>
    </row>
    <row r="955" ht="12.75" customHeight="1">
      <c r="C955" s="200"/>
      <c r="L955" s="201"/>
      <c r="M955" s="201"/>
      <c r="N955" s="201"/>
      <c r="Q955" s="202"/>
      <c r="R955" s="203"/>
    </row>
    <row r="956" ht="12.75" customHeight="1">
      <c r="C956" s="200"/>
      <c r="L956" s="201"/>
      <c r="M956" s="201"/>
      <c r="N956" s="201"/>
      <c r="Q956" s="202"/>
      <c r="R956" s="203"/>
    </row>
    <row r="957" ht="12.75" customHeight="1">
      <c r="C957" s="200"/>
      <c r="L957" s="201"/>
      <c r="M957" s="201"/>
      <c r="N957" s="201"/>
      <c r="Q957" s="202"/>
      <c r="R957" s="203"/>
    </row>
    <row r="958" ht="12.75" customHeight="1">
      <c r="C958" s="200"/>
      <c r="L958" s="201"/>
      <c r="M958" s="201"/>
      <c r="N958" s="201"/>
      <c r="Q958" s="202"/>
      <c r="R958" s="203"/>
    </row>
    <row r="959" ht="12.75" customHeight="1">
      <c r="C959" s="200"/>
      <c r="L959" s="201"/>
      <c r="M959" s="201"/>
      <c r="N959" s="201"/>
      <c r="Q959" s="202"/>
      <c r="R959" s="203"/>
    </row>
    <row r="960" ht="12.75" customHeight="1">
      <c r="C960" s="200"/>
      <c r="L960" s="201"/>
      <c r="M960" s="201"/>
      <c r="N960" s="201"/>
      <c r="Q960" s="202"/>
      <c r="R960" s="203"/>
    </row>
    <row r="961" ht="12.75" customHeight="1">
      <c r="C961" s="200"/>
      <c r="L961" s="201"/>
      <c r="M961" s="201"/>
      <c r="N961" s="201"/>
      <c r="Q961" s="202"/>
      <c r="R961" s="203"/>
    </row>
    <row r="962" ht="12.75" customHeight="1">
      <c r="C962" s="200"/>
      <c r="L962" s="201"/>
      <c r="M962" s="201"/>
      <c r="N962" s="201"/>
      <c r="Q962" s="202"/>
      <c r="R962" s="203"/>
    </row>
    <row r="963" ht="12.75" customHeight="1">
      <c r="C963" s="200"/>
      <c r="L963" s="201"/>
      <c r="M963" s="201"/>
      <c r="N963" s="201"/>
      <c r="Q963" s="202"/>
      <c r="R963" s="203"/>
    </row>
    <row r="964" ht="12.75" customHeight="1">
      <c r="C964" s="200"/>
      <c r="L964" s="201"/>
      <c r="M964" s="201"/>
      <c r="N964" s="201"/>
      <c r="Q964" s="202"/>
      <c r="R964" s="203"/>
    </row>
    <row r="965" ht="12.75" customHeight="1">
      <c r="C965" s="200"/>
      <c r="L965" s="201"/>
      <c r="M965" s="201"/>
      <c r="N965" s="201"/>
      <c r="Q965" s="202"/>
      <c r="R965" s="203"/>
    </row>
    <row r="966" ht="12.75" customHeight="1">
      <c r="C966" s="200"/>
      <c r="L966" s="201"/>
      <c r="M966" s="201"/>
      <c r="N966" s="201"/>
      <c r="Q966" s="202"/>
      <c r="R966" s="203"/>
    </row>
    <row r="967" ht="12.75" customHeight="1">
      <c r="C967" s="200"/>
      <c r="L967" s="201"/>
      <c r="M967" s="201"/>
      <c r="N967" s="201"/>
      <c r="Q967" s="202"/>
      <c r="R967" s="203"/>
    </row>
    <row r="968" ht="12.75" customHeight="1">
      <c r="C968" s="200"/>
      <c r="L968" s="201"/>
      <c r="M968" s="201"/>
      <c r="N968" s="201"/>
      <c r="Q968" s="202"/>
      <c r="R968" s="203"/>
    </row>
    <row r="969" ht="12.75" customHeight="1">
      <c r="C969" s="200"/>
      <c r="L969" s="201"/>
      <c r="M969" s="201"/>
      <c r="N969" s="201"/>
      <c r="Q969" s="202"/>
      <c r="R969" s="203"/>
    </row>
    <row r="970" ht="12.75" customHeight="1">
      <c r="C970" s="200"/>
      <c r="L970" s="201"/>
      <c r="M970" s="201"/>
      <c r="N970" s="201"/>
      <c r="Q970" s="202"/>
      <c r="R970" s="203"/>
    </row>
    <row r="971" ht="12.75" customHeight="1">
      <c r="C971" s="200"/>
      <c r="L971" s="201"/>
      <c r="M971" s="201"/>
      <c r="N971" s="201"/>
      <c r="Q971" s="202"/>
      <c r="R971" s="203"/>
    </row>
    <row r="972" ht="12.75" customHeight="1">
      <c r="C972" s="200"/>
      <c r="L972" s="201"/>
      <c r="M972" s="201"/>
      <c r="N972" s="201"/>
      <c r="Q972" s="202"/>
      <c r="R972" s="203"/>
    </row>
    <row r="973" ht="12.75" customHeight="1">
      <c r="C973" s="200"/>
      <c r="L973" s="201"/>
      <c r="M973" s="201"/>
      <c r="N973" s="201"/>
      <c r="Q973" s="202"/>
      <c r="R973" s="203"/>
    </row>
    <row r="974" ht="12.75" customHeight="1">
      <c r="C974" s="200"/>
      <c r="L974" s="201"/>
      <c r="M974" s="201"/>
      <c r="N974" s="201"/>
      <c r="Q974" s="202"/>
      <c r="R974" s="203"/>
    </row>
    <row r="975" ht="12.75" customHeight="1">
      <c r="C975" s="200"/>
      <c r="L975" s="201"/>
      <c r="M975" s="201"/>
      <c r="N975" s="201"/>
      <c r="Q975" s="202"/>
      <c r="R975" s="203"/>
    </row>
    <row r="976" ht="12.75" customHeight="1">
      <c r="C976" s="200"/>
      <c r="L976" s="201"/>
      <c r="M976" s="201"/>
      <c r="N976" s="201"/>
      <c r="Q976" s="202"/>
      <c r="R976" s="203"/>
    </row>
    <row r="977" ht="12.75" customHeight="1">
      <c r="C977" s="200"/>
      <c r="L977" s="201"/>
      <c r="M977" s="201"/>
      <c r="N977" s="201"/>
      <c r="Q977" s="202"/>
      <c r="R977" s="203"/>
    </row>
    <row r="978" ht="12.75" customHeight="1">
      <c r="C978" s="200"/>
      <c r="L978" s="201"/>
      <c r="M978" s="201"/>
      <c r="N978" s="201"/>
      <c r="Q978" s="202"/>
      <c r="R978" s="203"/>
    </row>
    <row r="979" ht="12.75" customHeight="1">
      <c r="C979" s="200"/>
      <c r="L979" s="201"/>
      <c r="M979" s="201"/>
      <c r="N979" s="201"/>
      <c r="Q979" s="202"/>
      <c r="R979" s="203"/>
    </row>
    <row r="980" ht="12.75" customHeight="1">
      <c r="C980" s="200"/>
      <c r="L980" s="201"/>
      <c r="M980" s="201"/>
      <c r="N980" s="201"/>
      <c r="Q980" s="202"/>
      <c r="R980" s="203"/>
    </row>
    <row r="981" ht="12.75" customHeight="1">
      <c r="C981" s="200"/>
      <c r="L981" s="201"/>
      <c r="M981" s="201"/>
      <c r="N981" s="201"/>
      <c r="Q981" s="202"/>
      <c r="R981" s="203"/>
    </row>
    <row r="982" ht="12.75" customHeight="1">
      <c r="C982" s="200"/>
      <c r="L982" s="201"/>
      <c r="M982" s="201"/>
      <c r="N982" s="201"/>
      <c r="Q982" s="202"/>
      <c r="R982" s="203"/>
    </row>
    <row r="983" ht="12.75" customHeight="1">
      <c r="C983" s="200"/>
      <c r="L983" s="201"/>
      <c r="M983" s="201"/>
      <c r="N983" s="201"/>
      <c r="Q983" s="202"/>
      <c r="R983" s="203"/>
    </row>
    <row r="984" ht="12.75" customHeight="1">
      <c r="C984" s="200"/>
      <c r="L984" s="201"/>
      <c r="M984" s="201"/>
      <c r="N984" s="201"/>
      <c r="Q984" s="202"/>
      <c r="R984" s="203"/>
    </row>
    <row r="985" ht="12.75" customHeight="1">
      <c r="C985" s="200"/>
      <c r="L985" s="201"/>
      <c r="M985" s="201"/>
      <c r="N985" s="201"/>
      <c r="Q985" s="202"/>
      <c r="R985" s="203"/>
    </row>
    <row r="986" ht="12.75" customHeight="1">
      <c r="C986" s="200"/>
      <c r="L986" s="201"/>
      <c r="M986" s="201"/>
      <c r="N986" s="201"/>
      <c r="Q986" s="202"/>
      <c r="R986" s="203"/>
    </row>
    <row r="987" ht="12.75" customHeight="1">
      <c r="C987" s="200"/>
      <c r="L987" s="201"/>
      <c r="M987" s="201"/>
      <c r="N987" s="201"/>
      <c r="Q987" s="202"/>
      <c r="R987" s="203"/>
    </row>
    <row r="988" ht="12.75" customHeight="1">
      <c r="C988" s="200"/>
      <c r="L988" s="201"/>
      <c r="M988" s="201"/>
      <c r="N988" s="201"/>
      <c r="Q988" s="202"/>
      <c r="R988" s="203"/>
    </row>
    <row r="989" ht="12.75" customHeight="1">
      <c r="C989" s="200"/>
      <c r="L989" s="201"/>
      <c r="M989" s="201"/>
      <c r="N989" s="201"/>
      <c r="Q989" s="202"/>
      <c r="R989" s="203"/>
    </row>
    <row r="990" ht="12.75" customHeight="1">
      <c r="C990" s="200"/>
      <c r="L990" s="201"/>
      <c r="M990" s="201"/>
      <c r="N990" s="201"/>
      <c r="Q990" s="202"/>
      <c r="R990" s="203"/>
    </row>
    <row r="991" ht="12.75" customHeight="1">
      <c r="C991" s="200"/>
      <c r="L991" s="201"/>
      <c r="M991" s="201"/>
      <c r="N991" s="201"/>
      <c r="Q991" s="202"/>
      <c r="R991" s="203"/>
    </row>
    <row r="992" ht="12.75" customHeight="1">
      <c r="C992" s="200"/>
      <c r="L992" s="201"/>
      <c r="M992" s="201"/>
      <c r="N992" s="201"/>
      <c r="Q992" s="202"/>
      <c r="R992" s="203"/>
    </row>
    <row r="993" ht="12.75" customHeight="1">
      <c r="C993" s="200"/>
      <c r="L993" s="201"/>
      <c r="M993" s="201"/>
      <c r="N993" s="201"/>
      <c r="Q993" s="202"/>
      <c r="R993" s="203"/>
    </row>
    <row r="994" ht="12.75" customHeight="1">
      <c r="C994" s="200"/>
      <c r="L994" s="201"/>
      <c r="M994" s="201"/>
      <c r="N994" s="201"/>
      <c r="Q994" s="202"/>
      <c r="R994" s="203"/>
    </row>
    <row r="995" ht="12.75" customHeight="1">
      <c r="C995" s="200"/>
      <c r="L995" s="201"/>
      <c r="M995" s="201"/>
      <c r="N995" s="201"/>
      <c r="Q995" s="202"/>
      <c r="R995" s="203"/>
    </row>
    <row r="996" ht="12.75" customHeight="1">
      <c r="C996" s="200"/>
      <c r="L996" s="201"/>
      <c r="M996" s="201"/>
      <c r="N996" s="201"/>
      <c r="Q996" s="202"/>
      <c r="R996" s="203"/>
    </row>
    <row r="997" ht="12.75" customHeight="1">
      <c r="C997" s="200"/>
      <c r="L997" s="201"/>
      <c r="M997" s="201"/>
      <c r="N997" s="201"/>
      <c r="Q997" s="202"/>
      <c r="R997" s="203"/>
    </row>
    <row r="998" ht="12.75" customHeight="1">
      <c r="C998" s="200"/>
      <c r="L998" s="201"/>
      <c r="M998" s="201"/>
      <c r="N998" s="201"/>
      <c r="Q998" s="202"/>
      <c r="R998" s="203"/>
    </row>
    <row r="999" ht="12.75" customHeight="1">
      <c r="C999" s="200"/>
      <c r="L999" s="201"/>
      <c r="M999" s="201"/>
      <c r="N999" s="201"/>
      <c r="Q999" s="202"/>
      <c r="R999" s="203"/>
    </row>
    <row r="1000" ht="12.75" customHeight="1">
      <c r="C1000" s="200"/>
      <c r="L1000" s="201"/>
      <c r="M1000" s="201"/>
      <c r="N1000" s="201"/>
      <c r="Q1000" s="202"/>
      <c r="R1000" s="203"/>
    </row>
    <row r="1001" ht="12.75" customHeight="1">
      <c r="C1001" s="200"/>
      <c r="L1001" s="201"/>
      <c r="M1001" s="201"/>
      <c r="N1001" s="201"/>
      <c r="Q1001" s="202"/>
      <c r="R1001" s="203"/>
    </row>
    <row r="1002" ht="12.75" customHeight="1">
      <c r="C1002" s="200"/>
      <c r="L1002" s="201"/>
      <c r="M1002" s="201"/>
      <c r="N1002" s="201"/>
      <c r="Q1002" s="202"/>
      <c r="R1002" s="203"/>
    </row>
    <row r="1003" ht="12.75" customHeight="1">
      <c r="C1003" s="200"/>
      <c r="L1003" s="201"/>
      <c r="M1003" s="201"/>
      <c r="N1003" s="201"/>
      <c r="Q1003" s="202"/>
      <c r="R1003" s="203"/>
    </row>
    <row r="1004" ht="12.75" customHeight="1">
      <c r="C1004" s="200"/>
      <c r="L1004" s="201"/>
      <c r="M1004" s="201"/>
      <c r="N1004" s="201"/>
      <c r="Q1004" s="202"/>
      <c r="R1004" s="203"/>
    </row>
    <row r="1005" ht="12.75" customHeight="1">
      <c r="C1005" s="200"/>
      <c r="L1005" s="201"/>
      <c r="M1005" s="201"/>
      <c r="N1005" s="201"/>
      <c r="Q1005" s="202"/>
      <c r="R1005" s="203"/>
    </row>
    <row r="1006" ht="12.75" customHeight="1">
      <c r="C1006" s="200"/>
      <c r="L1006" s="201"/>
      <c r="M1006" s="201"/>
      <c r="N1006" s="201"/>
      <c r="Q1006" s="202"/>
      <c r="R1006" s="203"/>
    </row>
    <row r="1007" ht="12.75" customHeight="1">
      <c r="C1007" s="200"/>
      <c r="L1007" s="201"/>
      <c r="M1007" s="201"/>
      <c r="N1007" s="201"/>
      <c r="Q1007" s="202"/>
      <c r="R1007" s="203"/>
    </row>
    <row r="1008" ht="12.75" customHeight="1">
      <c r="C1008" s="200"/>
      <c r="L1008" s="201"/>
      <c r="M1008" s="201"/>
      <c r="N1008" s="201"/>
      <c r="Q1008" s="202"/>
      <c r="R1008" s="203"/>
    </row>
    <row r="1009" ht="12.75" customHeight="1">
      <c r="C1009" s="200"/>
      <c r="L1009" s="201"/>
      <c r="M1009" s="201"/>
      <c r="N1009" s="201"/>
      <c r="Q1009" s="202"/>
      <c r="R1009" s="203"/>
    </row>
    <row r="1010" ht="12.75" customHeight="1">
      <c r="C1010" s="200"/>
      <c r="L1010" s="201"/>
      <c r="M1010" s="201"/>
      <c r="N1010" s="201"/>
      <c r="Q1010" s="202"/>
      <c r="R1010" s="203"/>
    </row>
    <row r="1011" ht="12.75" customHeight="1">
      <c r="C1011" s="200"/>
      <c r="L1011" s="201"/>
      <c r="M1011" s="201"/>
      <c r="N1011" s="201"/>
      <c r="Q1011" s="202"/>
      <c r="R1011" s="203"/>
    </row>
    <row r="1012" ht="12.75" customHeight="1">
      <c r="C1012" s="200"/>
      <c r="L1012" s="201"/>
      <c r="M1012" s="201"/>
      <c r="N1012" s="201"/>
      <c r="Q1012" s="202"/>
      <c r="R1012" s="203"/>
    </row>
    <row r="1013" ht="12.75" customHeight="1">
      <c r="C1013" s="200"/>
      <c r="L1013" s="201"/>
      <c r="M1013" s="201"/>
      <c r="N1013" s="201"/>
      <c r="Q1013" s="202"/>
      <c r="R1013" s="203"/>
    </row>
    <row r="1014" ht="12.75" customHeight="1">
      <c r="C1014" s="200"/>
      <c r="L1014" s="201"/>
      <c r="M1014" s="201"/>
      <c r="N1014" s="201"/>
      <c r="Q1014" s="202"/>
      <c r="R1014" s="203"/>
    </row>
    <row r="1015" ht="12.75" customHeight="1">
      <c r="C1015" s="200"/>
      <c r="L1015" s="201"/>
      <c r="M1015" s="201"/>
      <c r="N1015" s="201"/>
      <c r="Q1015" s="202"/>
      <c r="R1015" s="203"/>
    </row>
    <row r="1016" ht="12.75" customHeight="1">
      <c r="C1016" s="200"/>
      <c r="L1016" s="201"/>
      <c r="M1016" s="201"/>
      <c r="N1016" s="201"/>
      <c r="Q1016" s="202"/>
      <c r="R1016" s="203"/>
    </row>
    <row r="1017" ht="12.75" customHeight="1">
      <c r="C1017" s="200"/>
      <c r="L1017" s="201"/>
      <c r="M1017" s="201"/>
      <c r="N1017" s="201"/>
      <c r="Q1017" s="202"/>
      <c r="R1017" s="203"/>
    </row>
    <row r="1018" ht="12.75" customHeight="1">
      <c r="C1018" s="200"/>
      <c r="L1018" s="201"/>
      <c r="M1018" s="201"/>
      <c r="N1018" s="201"/>
      <c r="Q1018" s="202"/>
      <c r="R1018" s="203"/>
    </row>
    <row r="1019" ht="12.75" customHeight="1">
      <c r="C1019" s="200"/>
      <c r="L1019" s="201"/>
      <c r="M1019" s="201"/>
      <c r="N1019" s="201"/>
      <c r="Q1019" s="202"/>
      <c r="R1019" s="203"/>
    </row>
    <row r="1020" ht="12.75" customHeight="1">
      <c r="C1020" s="200"/>
      <c r="L1020" s="201"/>
      <c r="M1020" s="201"/>
      <c r="N1020" s="201"/>
      <c r="Q1020" s="202"/>
      <c r="R1020" s="203"/>
    </row>
    <row r="1021" ht="12.75" customHeight="1">
      <c r="C1021" s="200"/>
      <c r="L1021" s="201"/>
      <c r="M1021" s="201"/>
      <c r="N1021" s="201"/>
      <c r="Q1021" s="202"/>
      <c r="R1021" s="203"/>
    </row>
    <row r="1022" ht="12.75" customHeight="1">
      <c r="C1022" s="200"/>
      <c r="L1022" s="201"/>
      <c r="M1022" s="201"/>
      <c r="N1022" s="201"/>
      <c r="Q1022" s="202"/>
      <c r="R1022" s="203"/>
    </row>
    <row r="1023" ht="12.75" customHeight="1">
      <c r="C1023" s="200"/>
      <c r="L1023" s="201"/>
      <c r="M1023" s="201"/>
      <c r="N1023" s="201"/>
      <c r="Q1023" s="202"/>
      <c r="R1023" s="203"/>
    </row>
    <row r="1024" ht="12.75" customHeight="1">
      <c r="C1024" s="200"/>
      <c r="L1024" s="201"/>
      <c r="M1024" s="201"/>
      <c r="N1024" s="201"/>
      <c r="Q1024" s="202"/>
      <c r="R1024" s="203"/>
    </row>
    <row r="1025" ht="12.75" customHeight="1">
      <c r="C1025" s="200"/>
      <c r="L1025" s="201"/>
      <c r="M1025" s="201"/>
      <c r="N1025" s="201"/>
      <c r="Q1025" s="202"/>
      <c r="R1025" s="203"/>
    </row>
    <row r="1026" ht="12.75" customHeight="1">
      <c r="C1026" s="200"/>
      <c r="L1026" s="201"/>
      <c r="M1026" s="201"/>
      <c r="N1026" s="201"/>
      <c r="Q1026" s="202"/>
      <c r="R1026" s="203"/>
    </row>
    <row r="1027" ht="12.75" customHeight="1">
      <c r="C1027" s="200"/>
      <c r="L1027" s="201"/>
      <c r="M1027" s="201"/>
      <c r="N1027" s="201"/>
      <c r="Q1027" s="202"/>
      <c r="R1027" s="203"/>
    </row>
    <row r="1028" ht="12.75" customHeight="1">
      <c r="C1028" s="200"/>
      <c r="L1028" s="201"/>
      <c r="M1028" s="201"/>
      <c r="N1028" s="201"/>
      <c r="Q1028" s="202"/>
      <c r="R1028" s="203"/>
    </row>
    <row r="1029" ht="12.75" customHeight="1">
      <c r="C1029" s="200"/>
      <c r="L1029" s="201"/>
      <c r="M1029" s="201"/>
      <c r="N1029" s="201"/>
      <c r="Q1029" s="202"/>
      <c r="R1029" s="203"/>
    </row>
    <row r="1030" ht="12.75" customHeight="1">
      <c r="C1030" s="200"/>
      <c r="L1030" s="201"/>
      <c r="M1030" s="201"/>
      <c r="N1030" s="201"/>
      <c r="Q1030" s="202"/>
      <c r="R1030" s="203"/>
    </row>
    <row r="1031" ht="12.75" customHeight="1">
      <c r="C1031" s="200"/>
      <c r="L1031" s="201"/>
      <c r="M1031" s="201"/>
      <c r="N1031" s="201"/>
      <c r="Q1031" s="202"/>
      <c r="R1031" s="203"/>
    </row>
    <row r="1032" ht="12.75" customHeight="1">
      <c r="C1032" s="200"/>
      <c r="L1032" s="201"/>
      <c r="M1032" s="201"/>
      <c r="N1032" s="201"/>
      <c r="Q1032" s="202"/>
      <c r="R1032" s="203"/>
    </row>
    <row r="1033" ht="12.75" customHeight="1">
      <c r="C1033" s="200"/>
      <c r="L1033" s="201"/>
      <c r="M1033" s="201"/>
      <c r="N1033" s="201"/>
      <c r="Q1033" s="202"/>
      <c r="R1033" s="203"/>
    </row>
    <row r="1034" ht="12.75" customHeight="1">
      <c r="C1034" s="200"/>
      <c r="L1034" s="201"/>
      <c r="M1034" s="201"/>
      <c r="N1034" s="201"/>
      <c r="Q1034" s="202"/>
      <c r="R1034" s="203"/>
    </row>
    <row r="1035" ht="12.75" customHeight="1">
      <c r="C1035" s="200"/>
      <c r="L1035" s="201"/>
      <c r="M1035" s="201"/>
      <c r="N1035" s="201"/>
      <c r="Q1035" s="202"/>
      <c r="R1035" s="203"/>
    </row>
    <row r="1036" ht="12.75" customHeight="1">
      <c r="C1036" s="200"/>
      <c r="L1036" s="201"/>
      <c r="M1036" s="201"/>
      <c r="N1036" s="201"/>
      <c r="Q1036" s="202"/>
      <c r="R1036" s="203"/>
    </row>
    <row r="1037" ht="12.75" customHeight="1">
      <c r="C1037" s="200"/>
      <c r="L1037" s="201"/>
      <c r="M1037" s="201"/>
      <c r="N1037" s="201"/>
      <c r="Q1037" s="202"/>
      <c r="R1037" s="203"/>
    </row>
    <row r="1038" ht="12.75" customHeight="1">
      <c r="C1038" s="200"/>
      <c r="L1038" s="201"/>
      <c r="M1038" s="201"/>
      <c r="N1038" s="201"/>
      <c r="Q1038" s="202"/>
      <c r="R1038" s="203"/>
    </row>
    <row r="1039" ht="12.75" customHeight="1">
      <c r="C1039" s="200"/>
      <c r="L1039" s="201"/>
      <c r="M1039" s="201"/>
      <c r="N1039" s="201"/>
      <c r="Q1039" s="202"/>
      <c r="R1039" s="203"/>
    </row>
    <row r="1040" ht="12.75" customHeight="1">
      <c r="C1040" s="200"/>
      <c r="L1040" s="201"/>
      <c r="M1040" s="201"/>
      <c r="N1040" s="201"/>
      <c r="Q1040" s="202"/>
      <c r="R1040" s="203"/>
    </row>
    <row r="1041" ht="12.75" customHeight="1">
      <c r="C1041" s="200"/>
      <c r="L1041" s="201"/>
      <c r="M1041" s="201"/>
      <c r="N1041" s="201"/>
      <c r="Q1041" s="202"/>
      <c r="R1041" s="203"/>
    </row>
    <row r="1042" ht="12.75" customHeight="1">
      <c r="C1042" s="200"/>
      <c r="L1042" s="201"/>
      <c r="M1042" s="201"/>
      <c r="N1042" s="201"/>
      <c r="Q1042" s="202"/>
      <c r="R1042" s="203"/>
    </row>
    <row r="1043" ht="12.75" customHeight="1">
      <c r="C1043" s="200"/>
      <c r="L1043" s="201"/>
      <c r="M1043" s="201"/>
      <c r="N1043" s="201"/>
      <c r="Q1043" s="202"/>
      <c r="R1043" s="203"/>
    </row>
    <row r="1044" ht="12.75" customHeight="1">
      <c r="C1044" s="200"/>
      <c r="L1044" s="201"/>
      <c r="M1044" s="201"/>
      <c r="N1044" s="201"/>
      <c r="Q1044" s="202"/>
      <c r="R1044" s="203"/>
    </row>
    <row r="1045" ht="12.75" customHeight="1">
      <c r="C1045" s="200"/>
      <c r="L1045" s="201"/>
      <c r="M1045" s="201"/>
      <c r="N1045" s="201"/>
      <c r="Q1045" s="202"/>
      <c r="R1045" s="203"/>
    </row>
    <row r="1046" ht="12.75" customHeight="1">
      <c r="C1046" s="200"/>
      <c r="L1046" s="201"/>
      <c r="M1046" s="201"/>
      <c r="N1046" s="201"/>
      <c r="Q1046" s="202"/>
      <c r="R1046" s="203"/>
    </row>
    <row r="1047" ht="12.75" customHeight="1">
      <c r="C1047" s="200"/>
      <c r="L1047" s="201"/>
      <c r="M1047" s="201"/>
      <c r="N1047" s="201"/>
      <c r="Q1047" s="202"/>
      <c r="R1047" s="203"/>
    </row>
    <row r="1048" ht="12.75" customHeight="1">
      <c r="C1048" s="200"/>
      <c r="L1048" s="201"/>
      <c r="M1048" s="201"/>
      <c r="N1048" s="201"/>
      <c r="Q1048" s="202"/>
      <c r="R1048" s="203"/>
    </row>
    <row r="1049" ht="12.75" customHeight="1">
      <c r="C1049" s="200"/>
      <c r="L1049" s="201"/>
      <c r="M1049" s="201"/>
      <c r="N1049" s="201"/>
      <c r="Q1049" s="202"/>
      <c r="R1049" s="203"/>
    </row>
    <row r="1050" ht="12.75" customHeight="1">
      <c r="C1050" s="200"/>
      <c r="L1050" s="201"/>
      <c r="M1050" s="201"/>
      <c r="N1050" s="201"/>
      <c r="Q1050" s="202"/>
      <c r="R1050" s="203"/>
    </row>
    <row r="1051" ht="12.75" customHeight="1">
      <c r="C1051" s="200"/>
      <c r="L1051" s="201"/>
      <c r="M1051" s="201"/>
      <c r="N1051" s="201"/>
      <c r="Q1051" s="202"/>
      <c r="R1051" s="203"/>
    </row>
    <row r="1052" ht="12.75" customHeight="1">
      <c r="C1052" s="200"/>
      <c r="L1052" s="201"/>
      <c r="M1052" s="201"/>
      <c r="N1052" s="201"/>
      <c r="Q1052" s="202"/>
      <c r="R1052" s="203"/>
    </row>
    <row r="1053" ht="12.75" customHeight="1">
      <c r="C1053" s="200"/>
      <c r="L1053" s="201"/>
      <c r="M1053" s="201"/>
      <c r="N1053" s="201"/>
      <c r="Q1053" s="202"/>
      <c r="R1053" s="203"/>
    </row>
    <row r="1054" ht="12.75" customHeight="1">
      <c r="C1054" s="200"/>
      <c r="L1054" s="201"/>
      <c r="M1054" s="201"/>
      <c r="N1054" s="201"/>
      <c r="Q1054" s="202"/>
      <c r="R1054" s="203"/>
    </row>
    <row r="1055" ht="12.75" customHeight="1">
      <c r="C1055" s="200"/>
      <c r="L1055" s="201"/>
      <c r="M1055" s="201"/>
      <c r="N1055" s="201"/>
      <c r="Q1055" s="202"/>
      <c r="R1055" s="203"/>
    </row>
    <row r="1056" ht="12.75" customHeight="1">
      <c r="C1056" s="200"/>
      <c r="L1056" s="201"/>
      <c r="M1056" s="201"/>
      <c r="N1056" s="201"/>
      <c r="Q1056" s="202"/>
      <c r="R1056" s="203"/>
    </row>
    <row r="1057" ht="12.75" customHeight="1">
      <c r="C1057" s="200"/>
      <c r="L1057" s="201"/>
      <c r="M1057" s="201"/>
      <c r="N1057" s="201"/>
      <c r="Q1057" s="202"/>
      <c r="R1057" s="203"/>
    </row>
    <row r="1058" ht="12.75" customHeight="1">
      <c r="C1058" s="200"/>
      <c r="L1058" s="201"/>
      <c r="M1058" s="201"/>
      <c r="N1058" s="201"/>
      <c r="Q1058" s="202"/>
      <c r="R1058" s="203"/>
    </row>
    <row r="1059" ht="12.75" customHeight="1">
      <c r="C1059" s="200"/>
      <c r="L1059" s="201"/>
      <c r="M1059" s="201"/>
      <c r="N1059" s="201"/>
      <c r="Q1059" s="202"/>
      <c r="R1059" s="203"/>
    </row>
    <row r="1060" ht="12.75" customHeight="1">
      <c r="C1060" s="200"/>
      <c r="L1060" s="201"/>
      <c r="M1060" s="201"/>
      <c r="N1060" s="201"/>
      <c r="Q1060" s="202"/>
      <c r="R1060" s="203"/>
    </row>
    <row r="1061" ht="12.75" customHeight="1">
      <c r="C1061" s="200"/>
      <c r="L1061" s="201"/>
      <c r="M1061" s="201"/>
      <c r="N1061" s="201"/>
      <c r="Q1061" s="202"/>
      <c r="R1061" s="203"/>
    </row>
    <row r="1062" ht="12.75" customHeight="1">
      <c r="C1062" s="200"/>
      <c r="L1062" s="201"/>
      <c r="M1062" s="201"/>
      <c r="N1062" s="201"/>
      <c r="Q1062" s="202"/>
      <c r="R1062" s="203"/>
    </row>
    <row r="1063" ht="12.75" customHeight="1">
      <c r="C1063" s="200"/>
      <c r="L1063" s="201"/>
      <c r="M1063" s="201"/>
      <c r="N1063" s="201"/>
      <c r="Q1063" s="202"/>
      <c r="R1063" s="203"/>
    </row>
    <row r="1064" ht="12.75" customHeight="1">
      <c r="C1064" s="200"/>
      <c r="L1064" s="201"/>
      <c r="M1064" s="201"/>
      <c r="N1064" s="201"/>
      <c r="Q1064" s="202"/>
      <c r="R1064" s="203"/>
    </row>
    <row r="1065" ht="12.75" customHeight="1">
      <c r="C1065" s="200"/>
      <c r="L1065" s="201"/>
      <c r="M1065" s="201"/>
      <c r="N1065" s="201"/>
      <c r="Q1065" s="202"/>
      <c r="R1065" s="203"/>
    </row>
    <row r="1066" ht="12.75" customHeight="1">
      <c r="C1066" s="200"/>
      <c r="L1066" s="201"/>
      <c r="M1066" s="201"/>
      <c r="N1066" s="201"/>
      <c r="Q1066" s="202"/>
      <c r="R1066" s="203"/>
    </row>
    <row r="1067" ht="12.75" customHeight="1">
      <c r="C1067" s="200"/>
      <c r="L1067" s="201"/>
      <c r="M1067" s="201"/>
      <c r="N1067" s="201"/>
      <c r="Q1067" s="202"/>
      <c r="R1067" s="203"/>
    </row>
    <row r="1068" ht="12.75" customHeight="1">
      <c r="C1068" s="200"/>
      <c r="L1068" s="201"/>
      <c r="M1068" s="201"/>
      <c r="N1068" s="201"/>
      <c r="Q1068" s="202"/>
      <c r="R1068" s="203"/>
    </row>
    <row r="1069" ht="12.75" customHeight="1">
      <c r="C1069" s="200"/>
      <c r="L1069" s="201"/>
      <c r="M1069" s="201"/>
      <c r="N1069" s="201"/>
      <c r="Q1069" s="202"/>
      <c r="R1069" s="203"/>
    </row>
    <row r="1070" ht="12.75" customHeight="1">
      <c r="C1070" s="200"/>
      <c r="L1070" s="201"/>
      <c r="M1070" s="201"/>
      <c r="N1070" s="201"/>
      <c r="Q1070" s="202"/>
      <c r="R1070" s="203"/>
    </row>
  </sheetData>
  <mergeCells count="19">
    <mergeCell ref="D1:D4"/>
    <mergeCell ref="E2:E3"/>
    <mergeCell ref="C218:C219"/>
    <mergeCell ref="F2:F3"/>
    <mergeCell ref="G2:H2"/>
    <mergeCell ref="J1:J4"/>
    <mergeCell ref="K2:K4"/>
    <mergeCell ref="R1:R4"/>
    <mergeCell ref="Q2:Q4"/>
    <mergeCell ref="L3:M4"/>
    <mergeCell ref="O3:P4"/>
    <mergeCell ref="A1:A4"/>
    <mergeCell ref="B1:B4"/>
    <mergeCell ref="C1:C4"/>
    <mergeCell ref="E1:I1"/>
    <mergeCell ref="K1:Q1"/>
    <mergeCell ref="I2:I3"/>
    <mergeCell ref="N2:N4"/>
    <mergeCell ref="E4:I4"/>
  </mergeCells>
  <conditionalFormatting sqref="R235">
    <cfRule type="notContainsBlanks" dxfId="0" priority="1">
      <formula>LEN(TRIM(R235))&gt;0</formula>
    </cfRule>
  </conditionalFormatting>
  <conditionalFormatting sqref="R226">
    <cfRule type="notContainsBlanks" dxfId="0" priority="2">
      <formula>LEN(TRIM(R226))&gt;0</formula>
    </cfRule>
  </conditionalFormatting>
  <dataValidations>
    <dataValidation type="list" allowBlank="1" showInputMessage="1" showErrorMessage="1" prompt=" - " sqref="D242:D243">
      <formula1>"Open Tender,Quotation,Restrictive,Sole Source,Comm. Participation,Nil"</formula1>
    </dataValidation>
    <dataValidation type="list" allowBlank="1" showInputMessage="1" showErrorMessage="1" prompt=" - " sqref="D240:D241">
      <formula1>"OT,RT,RFQ,SS,CP"</formula1>
    </dataValidation>
    <dataValidation type="list" allowBlank="1" showInputMessage="1" showErrorMessage="1" prompt=" - " sqref="J242:J243">
      <formula1>"Rollover,Design,Advertised,Evaluation,Awaiting Award,Award,No Action,Other"</formula1>
    </dataValidation>
    <dataValidation type="list" allowBlank="1" showInputMessage="1" showErrorMessage="1" prompt="Click and enter a value from the list of items" sqref="J10:J15 J20:J21 J24:J35 J40:J55 J59:J66 J71:J97 J101 J106:J123 J125:J171 J173:J181 J186:J187 J189:J198 J202:J203 J207:J212 J215:J219 J222:J223 J226:J227 J232 J235:J237 J240:J241">
      <formula1>"Rollover,Design,Advertised,Evaluation,Awaiting Award,Award,See Remarks,Submitted to NPTAB"</formula1>
    </dataValidation>
    <dataValidation type="list" allowBlank="1" showInputMessage="1" showErrorMessage="1" prompt=" - " sqref="D10:D15 D20:D21 D24:D35 D40:D56 D59:D66 D71:D97 D101 D106:D171 D173:D181 D186:D187 D189:D198 D202:D203 D207:D212 D215:D219 D222:D223 D226:D227 D232 D235:D237">
      <formula1>"Open Tender,Quotation,Restrictive,Sole Source,Comm.Participation,Nil"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34.63"/>
    <col customWidth="1" min="3" max="3" width="15.38"/>
    <col customWidth="1" min="4" max="4" width="12.13"/>
    <col customWidth="1" min="5" max="17" width="8.0"/>
    <col customWidth="1" min="18" max="18" width="31.88"/>
    <col customWidth="1" min="19" max="26" width="8.0"/>
  </cols>
  <sheetData>
    <row r="1" ht="12.75" customHeight="1">
      <c r="A1" s="214" t="s">
        <v>0</v>
      </c>
      <c r="B1" s="214" t="s">
        <v>1</v>
      </c>
      <c r="C1" s="214" t="s">
        <v>2</v>
      </c>
      <c r="D1" s="3" t="s">
        <v>3</v>
      </c>
      <c r="E1" s="4" t="s">
        <v>4</v>
      </c>
      <c r="F1" s="5"/>
      <c r="G1" s="5"/>
      <c r="H1" s="5"/>
      <c r="I1" s="6"/>
      <c r="J1" s="3" t="s">
        <v>5</v>
      </c>
      <c r="K1" s="7" t="s">
        <v>6</v>
      </c>
      <c r="L1" s="5"/>
      <c r="M1" s="5"/>
      <c r="N1" s="5"/>
      <c r="O1" s="5"/>
      <c r="P1" s="5"/>
      <c r="Q1" s="6"/>
      <c r="R1" s="215" t="s">
        <v>7</v>
      </c>
    </row>
    <row r="2" ht="24.0" customHeight="1">
      <c r="A2" s="9"/>
      <c r="B2" s="9"/>
      <c r="C2" s="9"/>
      <c r="D2" s="9"/>
      <c r="E2" s="10" t="s">
        <v>8</v>
      </c>
      <c r="F2" s="10" t="s">
        <v>9</v>
      </c>
      <c r="G2" s="4" t="s">
        <v>10</v>
      </c>
      <c r="H2" s="6"/>
      <c r="I2" s="10" t="s">
        <v>11</v>
      </c>
      <c r="J2" s="9"/>
      <c r="K2" s="11" t="s">
        <v>12</v>
      </c>
      <c r="L2" s="12" t="s">
        <v>13</v>
      </c>
      <c r="M2" s="12" t="s">
        <v>14</v>
      </c>
      <c r="N2" s="13" t="s">
        <v>433</v>
      </c>
      <c r="O2" s="14" t="s">
        <v>16</v>
      </c>
      <c r="P2" s="14" t="s">
        <v>17</v>
      </c>
      <c r="Q2" s="11" t="s">
        <v>18</v>
      </c>
      <c r="R2" s="9"/>
    </row>
    <row r="3" ht="24.0" customHeight="1">
      <c r="A3" s="9"/>
      <c r="B3" s="9"/>
      <c r="C3" s="9"/>
      <c r="D3" s="9"/>
      <c r="E3" s="15"/>
      <c r="F3" s="15"/>
      <c r="G3" s="16" t="s">
        <v>19</v>
      </c>
      <c r="H3" s="16" t="s">
        <v>20</v>
      </c>
      <c r="I3" s="15"/>
      <c r="J3" s="9"/>
      <c r="K3" s="9"/>
      <c r="L3" s="17" t="s">
        <v>21</v>
      </c>
      <c r="M3" s="18"/>
      <c r="N3" s="9"/>
      <c r="O3" s="19" t="s">
        <v>22</v>
      </c>
      <c r="P3" s="18"/>
      <c r="Q3" s="9"/>
      <c r="R3" s="9"/>
    </row>
    <row r="4" ht="12.75" customHeight="1">
      <c r="A4" s="15"/>
      <c r="B4" s="15"/>
      <c r="C4" s="15"/>
      <c r="D4" s="15"/>
      <c r="E4" s="20" t="s">
        <v>23</v>
      </c>
      <c r="F4" s="5"/>
      <c r="G4" s="5"/>
      <c r="H4" s="5"/>
      <c r="I4" s="6"/>
      <c r="J4" s="15"/>
      <c r="K4" s="15"/>
      <c r="L4" s="21"/>
      <c r="M4" s="22"/>
      <c r="N4" s="15"/>
      <c r="O4" s="21"/>
      <c r="P4" s="22"/>
      <c r="Q4" s="15"/>
      <c r="R4" s="15"/>
    </row>
    <row r="5" ht="15.0" customHeight="1">
      <c r="A5" s="216">
        <v>34.0</v>
      </c>
      <c r="B5" s="216" t="s">
        <v>434</v>
      </c>
      <c r="C5" s="217"/>
      <c r="D5" s="25"/>
      <c r="E5" s="25"/>
      <c r="F5" s="25"/>
      <c r="G5" s="26"/>
      <c r="H5" s="26"/>
      <c r="I5" s="25"/>
      <c r="J5" s="25"/>
      <c r="K5" s="25"/>
      <c r="L5" s="27"/>
      <c r="M5" s="27"/>
      <c r="N5" s="27"/>
      <c r="O5" s="26"/>
      <c r="P5" s="26"/>
      <c r="Q5" s="25"/>
      <c r="R5" s="218"/>
    </row>
    <row r="6" ht="15.0" customHeight="1">
      <c r="A6" s="219"/>
      <c r="B6" s="219"/>
      <c r="C6" s="191"/>
      <c r="D6" s="31"/>
      <c r="E6" s="31"/>
      <c r="F6" s="31"/>
      <c r="G6" s="32"/>
      <c r="H6" s="32"/>
      <c r="I6" s="31"/>
      <c r="J6" s="31"/>
      <c r="K6" s="31"/>
      <c r="L6" s="33"/>
      <c r="M6" s="33"/>
      <c r="N6" s="33"/>
      <c r="O6" s="32"/>
      <c r="P6" s="32"/>
      <c r="Q6" s="31"/>
      <c r="R6" s="179"/>
    </row>
    <row r="7" ht="15.0" customHeight="1">
      <c r="A7" s="220">
        <v>342.0</v>
      </c>
      <c r="B7" s="220" t="s">
        <v>435</v>
      </c>
      <c r="C7" s="221"/>
      <c r="D7" s="14"/>
      <c r="E7" s="14"/>
      <c r="F7" s="14"/>
      <c r="G7" s="37"/>
      <c r="H7" s="37"/>
      <c r="I7" s="14"/>
      <c r="J7" s="14"/>
      <c r="K7" s="14"/>
      <c r="L7" s="38"/>
      <c r="M7" s="38"/>
      <c r="N7" s="38"/>
      <c r="O7" s="37"/>
      <c r="P7" s="37"/>
      <c r="Q7" s="14"/>
      <c r="R7" s="222"/>
    </row>
    <row r="8" ht="15.0" customHeight="1">
      <c r="A8" s="219"/>
      <c r="B8" s="219"/>
      <c r="C8" s="191"/>
      <c r="D8" s="31"/>
      <c r="E8" s="31"/>
      <c r="F8" s="31"/>
      <c r="G8" s="32"/>
      <c r="H8" s="32"/>
      <c r="I8" s="31"/>
      <c r="J8" s="31"/>
      <c r="K8" s="31"/>
      <c r="L8" s="33"/>
      <c r="M8" s="33"/>
      <c r="N8" s="33"/>
      <c r="O8" s="32"/>
      <c r="P8" s="32"/>
      <c r="Q8" s="31"/>
      <c r="R8" s="179"/>
    </row>
    <row r="9" ht="15.0" customHeight="1">
      <c r="A9" s="220">
        <v>2611300.0</v>
      </c>
      <c r="B9" s="220" t="s">
        <v>64</v>
      </c>
      <c r="C9" s="223">
        <f>SUM(C10:C11)</f>
        <v>16179.6</v>
      </c>
      <c r="D9" s="14"/>
      <c r="E9" s="14"/>
      <c r="F9" s="14"/>
      <c r="G9" s="37"/>
      <c r="H9" s="37"/>
      <c r="I9" s="14"/>
      <c r="J9" s="14"/>
      <c r="K9" s="14"/>
      <c r="L9" s="38"/>
      <c r="M9" s="38"/>
      <c r="N9" s="38"/>
      <c r="O9" s="37"/>
      <c r="P9" s="37"/>
      <c r="Q9" s="14"/>
      <c r="R9" s="222"/>
    </row>
    <row r="10" ht="15.0" customHeight="1">
      <c r="A10" s="191"/>
      <c r="B10" s="224" t="s">
        <v>436</v>
      </c>
      <c r="C10" s="225">
        <v>15637.5</v>
      </c>
      <c r="D10" s="226" t="s">
        <v>38</v>
      </c>
      <c r="E10" s="31"/>
      <c r="F10" s="31"/>
      <c r="G10" s="32"/>
      <c r="H10" s="32"/>
      <c r="I10" s="31"/>
      <c r="J10" s="50" t="s">
        <v>29</v>
      </c>
      <c r="K10" s="31"/>
      <c r="L10" s="33"/>
      <c r="M10" s="33"/>
      <c r="N10" s="33"/>
      <c r="O10" s="32"/>
      <c r="P10" s="32"/>
      <c r="Q10" s="31"/>
      <c r="R10" s="179"/>
    </row>
    <row r="11" ht="15.0" customHeight="1">
      <c r="A11" s="191"/>
      <c r="B11" s="224" t="s">
        <v>437</v>
      </c>
      <c r="C11" s="225">
        <v>542.1</v>
      </c>
      <c r="D11" s="226" t="s">
        <v>38</v>
      </c>
      <c r="E11" s="31"/>
      <c r="F11" s="31"/>
      <c r="G11" s="32"/>
      <c r="H11" s="32"/>
      <c r="I11" s="31"/>
      <c r="J11" s="50" t="s">
        <v>29</v>
      </c>
      <c r="K11" s="31"/>
      <c r="L11" s="33"/>
      <c r="M11" s="33"/>
      <c r="N11" s="33"/>
      <c r="O11" s="32"/>
      <c r="P11" s="32"/>
      <c r="Q11" s="31"/>
      <c r="R11" s="179"/>
    </row>
    <row r="12" ht="12.75" customHeight="1"/>
    <row r="13" ht="12.75" customHeight="1"/>
    <row r="14" ht="12.75" customHeight="1"/>
    <row r="15" ht="13.5" customHeight="1"/>
    <row r="16" ht="15.75" customHeight="1">
      <c r="B16" s="204" t="s">
        <v>432</v>
      </c>
      <c r="C16" s="227"/>
    </row>
    <row r="17" ht="12.75" customHeight="1">
      <c r="B17" s="206" t="s">
        <v>68</v>
      </c>
      <c r="C17" s="228">
        <f t="shared" ref="C17:C22" si="1">SUMIF($J$33:$J$37,B17,$C$33:$C$37)</f>
        <v>0</v>
      </c>
    </row>
    <row r="18" ht="12.75" customHeight="1">
      <c r="B18" s="209" t="s">
        <v>29</v>
      </c>
      <c r="C18" s="229">
        <f t="shared" si="1"/>
        <v>0</v>
      </c>
    </row>
    <row r="19" ht="12.75" customHeight="1">
      <c r="B19" s="209" t="s">
        <v>108</v>
      </c>
      <c r="C19" s="229">
        <f t="shared" si="1"/>
        <v>0</v>
      </c>
    </row>
    <row r="20" ht="12.75" customHeight="1">
      <c r="B20" s="209" t="s">
        <v>40</v>
      </c>
      <c r="C20" s="229">
        <f t="shared" si="1"/>
        <v>0</v>
      </c>
    </row>
    <row r="21" ht="12.75" customHeight="1">
      <c r="B21" s="209" t="s">
        <v>49</v>
      </c>
      <c r="C21" s="229">
        <f t="shared" si="1"/>
        <v>0</v>
      </c>
    </row>
    <row r="22" ht="12.75" customHeight="1">
      <c r="B22" s="209" t="s">
        <v>60</v>
      </c>
      <c r="C22" s="229">
        <f t="shared" si="1"/>
        <v>0</v>
      </c>
    </row>
    <row r="23" ht="13.5" customHeight="1">
      <c r="B23" s="212"/>
      <c r="C23" s="230"/>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D1:D4"/>
    <mergeCell ref="E2:E3"/>
    <mergeCell ref="F2:F3"/>
    <mergeCell ref="G2:H2"/>
    <mergeCell ref="J1:J4"/>
    <mergeCell ref="K2:K4"/>
    <mergeCell ref="R1:R4"/>
    <mergeCell ref="Q2:Q4"/>
    <mergeCell ref="L3:M4"/>
    <mergeCell ref="O3:P4"/>
    <mergeCell ref="A1:A4"/>
    <mergeCell ref="B1:B4"/>
    <mergeCell ref="C1:C4"/>
    <mergeCell ref="E1:I1"/>
    <mergeCell ref="K1:Q1"/>
    <mergeCell ref="I2:I3"/>
    <mergeCell ref="N2:N4"/>
    <mergeCell ref="E4:I4"/>
  </mergeCells>
  <dataValidations>
    <dataValidation type="list" allowBlank="1" showInputMessage="1" showErrorMessage="1" prompt=" - " sqref="J10:J11">
      <formula1>"Rollover,Design,Advertised,Evaluation,Awaiting Award,Award"</formula1>
    </dataValidation>
    <dataValidation type="list" allowBlank="1" showInputMessage="1" showErrorMessage="1" prompt=" - " sqref="D10:D11">
      <formula1>"Open Tender,Quotation,Restrictive,Sole Source,Comm.Participation,Nil"</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42.38"/>
    <col customWidth="1" min="3" max="3" width="12.13"/>
    <col customWidth="1" min="4" max="12" width="8.0"/>
    <col customWidth="1" min="13" max="13" width="11.88"/>
    <col customWidth="1" min="14" max="14" width="8.88"/>
    <col customWidth="1" min="15" max="15" width="9.13"/>
    <col customWidth="1" min="16" max="16" width="11.0"/>
    <col customWidth="1" min="17" max="17" width="7.75"/>
    <col customWidth="1" min="18" max="18" width="38.0"/>
    <col customWidth="1" min="19" max="26" width="8.0"/>
  </cols>
  <sheetData>
    <row r="1" ht="12.75" customHeight="1">
      <c r="A1" s="214" t="s">
        <v>0</v>
      </c>
      <c r="B1" s="214" t="s">
        <v>1</v>
      </c>
      <c r="C1" s="214" t="s">
        <v>2</v>
      </c>
      <c r="D1" s="3" t="s">
        <v>3</v>
      </c>
      <c r="E1" s="4" t="s">
        <v>4</v>
      </c>
      <c r="F1" s="5"/>
      <c r="G1" s="5"/>
      <c r="H1" s="5"/>
      <c r="I1" s="6"/>
      <c r="J1" s="3" t="s">
        <v>5</v>
      </c>
      <c r="K1" s="7" t="s">
        <v>6</v>
      </c>
      <c r="L1" s="5"/>
      <c r="M1" s="5"/>
      <c r="N1" s="5"/>
      <c r="O1" s="5"/>
      <c r="P1" s="5"/>
      <c r="Q1" s="6"/>
      <c r="R1" s="215" t="s">
        <v>7</v>
      </c>
    </row>
    <row r="2" ht="24.0" customHeight="1">
      <c r="A2" s="9"/>
      <c r="B2" s="9"/>
      <c r="C2" s="9"/>
      <c r="D2" s="9"/>
      <c r="E2" s="10" t="s">
        <v>8</v>
      </c>
      <c r="F2" s="10" t="s">
        <v>9</v>
      </c>
      <c r="G2" s="4" t="s">
        <v>10</v>
      </c>
      <c r="H2" s="6"/>
      <c r="I2" s="10" t="s">
        <v>11</v>
      </c>
      <c r="J2" s="9"/>
      <c r="K2" s="11" t="s">
        <v>12</v>
      </c>
      <c r="L2" s="12" t="s">
        <v>13</v>
      </c>
      <c r="M2" s="12" t="s">
        <v>14</v>
      </c>
      <c r="N2" s="13" t="s">
        <v>438</v>
      </c>
      <c r="O2" s="14" t="s">
        <v>16</v>
      </c>
      <c r="P2" s="14" t="s">
        <v>17</v>
      </c>
      <c r="Q2" s="11" t="s">
        <v>18</v>
      </c>
      <c r="R2" s="9"/>
    </row>
    <row r="3" ht="24.0" customHeight="1">
      <c r="A3" s="9"/>
      <c r="B3" s="9"/>
      <c r="C3" s="9"/>
      <c r="D3" s="9"/>
      <c r="E3" s="15"/>
      <c r="F3" s="15"/>
      <c r="G3" s="16" t="s">
        <v>19</v>
      </c>
      <c r="H3" s="16" t="s">
        <v>20</v>
      </c>
      <c r="I3" s="15"/>
      <c r="J3" s="9"/>
      <c r="K3" s="9"/>
      <c r="L3" s="17" t="s">
        <v>21</v>
      </c>
      <c r="M3" s="18"/>
      <c r="N3" s="9"/>
      <c r="O3" s="19" t="s">
        <v>22</v>
      </c>
      <c r="P3" s="18"/>
      <c r="Q3" s="9"/>
      <c r="R3" s="9"/>
    </row>
    <row r="4" ht="12.75" customHeight="1">
      <c r="A4" s="15"/>
      <c r="B4" s="15"/>
      <c r="C4" s="15"/>
      <c r="D4" s="15"/>
      <c r="E4" s="20" t="s">
        <v>23</v>
      </c>
      <c r="F4" s="5"/>
      <c r="G4" s="5"/>
      <c r="H4" s="5"/>
      <c r="I4" s="6"/>
      <c r="J4" s="15"/>
      <c r="K4" s="15"/>
      <c r="L4" s="21"/>
      <c r="M4" s="22"/>
      <c r="N4" s="15"/>
      <c r="O4" s="21"/>
      <c r="P4" s="22"/>
      <c r="Q4" s="15"/>
      <c r="R4" s="15"/>
    </row>
    <row r="5" ht="15.0" customHeight="1">
      <c r="A5" s="216">
        <v>34.0</v>
      </c>
      <c r="B5" s="216" t="s">
        <v>434</v>
      </c>
      <c r="C5" s="217"/>
      <c r="D5" s="25"/>
      <c r="E5" s="25"/>
      <c r="F5" s="25"/>
      <c r="G5" s="26"/>
      <c r="H5" s="26"/>
      <c r="I5" s="25"/>
      <c r="J5" s="25"/>
      <c r="K5" s="25"/>
      <c r="L5" s="27"/>
      <c r="M5" s="27"/>
      <c r="N5" s="27"/>
      <c r="O5" s="26"/>
      <c r="P5" s="26"/>
      <c r="Q5" s="25"/>
      <c r="R5" s="218"/>
    </row>
    <row r="6" ht="15.0" customHeight="1">
      <c r="A6" s="219"/>
      <c r="B6" s="219"/>
      <c r="C6" s="191"/>
      <c r="D6" s="31"/>
      <c r="E6" s="31"/>
      <c r="F6" s="31"/>
      <c r="G6" s="32"/>
      <c r="H6" s="32"/>
      <c r="I6" s="31"/>
      <c r="J6" s="31"/>
      <c r="K6" s="31"/>
      <c r="L6" s="33"/>
      <c r="M6" s="33"/>
      <c r="N6" s="33"/>
      <c r="O6" s="32"/>
      <c r="P6" s="32"/>
      <c r="Q6" s="31"/>
      <c r="R6" s="179"/>
    </row>
    <row r="7" ht="15.0" customHeight="1">
      <c r="A7" s="231">
        <v>343.0</v>
      </c>
      <c r="B7" s="220" t="s">
        <v>439</v>
      </c>
      <c r="C7" s="221"/>
      <c r="D7" s="14"/>
      <c r="E7" s="14"/>
      <c r="F7" s="14"/>
      <c r="G7" s="37"/>
      <c r="H7" s="37"/>
      <c r="I7" s="14"/>
      <c r="J7" s="14"/>
      <c r="K7" s="14"/>
      <c r="L7" s="38"/>
      <c r="M7" s="38"/>
      <c r="N7" s="38"/>
      <c r="O7" s="37"/>
      <c r="P7" s="37"/>
      <c r="Q7" s="14"/>
      <c r="R7" s="222"/>
    </row>
    <row r="8" ht="15.0" customHeight="1">
      <c r="A8" s="232"/>
      <c r="B8" s="219"/>
      <c r="C8" s="191"/>
      <c r="D8" s="31"/>
      <c r="E8" s="31"/>
      <c r="F8" s="31"/>
      <c r="G8" s="32"/>
      <c r="H8" s="32"/>
      <c r="I8" s="31"/>
      <c r="J8" s="31"/>
      <c r="K8" s="31"/>
      <c r="L8" s="33"/>
      <c r="M8" s="33"/>
      <c r="N8" s="33"/>
      <c r="O8" s="32"/>
      <c r="P8" s="32"/>
      <c r="Q8" s="31"/>
      <c r="R8" s="179"/>
    </row>
    <row r="9" ht="15.0" customHeight="1">
      <c r="A9" s="231">
        <v>1601800.0</v>
      </c>
      <c r="B9" s="220" t="s">
        <v>440</v>
      </c>
      <c r="C9" s="221">
        <f>SUM(C11:C25)</f>
        <v>4500</v>
      </c>
      <c r="D9" s="14"/>
      <c r="E9" s="14"/>
      <c r="F9" s="14"/>
      <c r="G9" s="37"/>
      <c r="H9" s="37"/>
      <c r="I9" s="14"/>
      <c r="J9" s="14"/>
      <c r="K9" s="14"/>
      <c r="L9" s="38"/>
      <c r="M9" s="38"/>
      <c r="N9" s="38"/>
      <c r="O9" s="37"/>
      <c r="P9" s="37"/>
      <c r="Q9" s="14"/>
      <c r="R9" s="222"/>
    </row>
    <row r="10" ht="15.0" customHeight="1">
      <c r="A10" s="233"/>
      <c r="B10" s="191"/>
      <c r="C10" s="191"/>
      <c r="D10" s="31"/>
      <c r="E10" s="31"/>
      <c r="F10" s="31"/>
      <c r="G10" s="32"/>
      <c r="H10" s="32"/>
      <c r="I10" s="31"/>
      <c r="J10" s="31"/>
      <c r="K10" s="31"/>
      <c r="L10" s="33"/>
      <c r="M10" s="33"/>
      <c r="N10" s="33"/>
      <c r="O10" s="32"/>
      <c r="P10" s="32"/>
      <c r="Q10" s="31"/>
      <c r="R10" s="179"/>
    </row>
    <row r="11" ht="75.0" customHeight="1">
      <c r="A11" s="233">
        <v>1.0</v>
      </c>
      <c r="B11" s="224" t="s">
        <v>441</v>
      </c>
      <c r="C11" s="233"/>
      <c r="D11" s="183" t="s">
        <v>442</v>
      </c>
      <c r="E11" s="234">
        <v>45964.0</v>
      </c>
      <c r="F11" s="234">
        <v>46021.0</v>
      </c>
      <c r="G11" s="32" t="s">
        <v>412</v>
      </c>
      <c r="H11" s="32" t="s">
        <v>412</v>
      </c>
      <c r="I11" s="183" t="s">
        <v>443</v>
      </c>
      <c r="J11" s="183" t="s">
        <v>444</v>
      </c>
      <c r="K11" s="183"/>
      <c r="L11" s="33"/>
      <c r="M11" s="33"/>
      <c r="N11" s="33"/>
      <c r="O11" s="32"/>
      <c r="P11" s="32"/>
      <c r="Q11" s="183"/>
      <c r="R11" s="63" t="s">
        <v>445</v>
      </c>
    </row>
    <row r="12" ht="15.0" customHeight="1">
      <c r="A12" s="233">
        <v>1.1</v>
      </c>
      <c r="B12" s="232" t="s">
        <v>446</v>
      </c>
      <c r="C12" s="233">
        <v>3500.0</v>
      </c>
      <c r="D12" s="183"/>
      <c r="E12" s="183"/>
      <c r="F12" s="183"/>
      <c r="G12" s="32"/>
      <c r="H12" s="32"/>
      <c r="I12" s="183"/>
      <c r="J12" s="183"/>
      <c r="K12" s="183"/>
      <c r="L12" s="33"/>
      <c r="M12" s="33"/>
      <c r="N12" s="33"/>
      <c r="O12" s="32"/>
      <c r="P12" s="32"/>
      <c r="Q12" s="183"/>
      <c r="R12" s="235"/>
    </row>
    <row r="13" ht="15.0" customHeight="1">
      <c r="A13" s="233">
        <v>1.2</v>
      </c>
      <c r="B13" s="232" t="s">
        <v>447</v>
      </c>
      <c r="C13" s="233">
        <v>100.0</v>
      </c>
      <c r="D13" s="183"/>
      <c r="E13" s="183"/>
      <c r="F13" s="183"/>
      <c r="G13" s="32"/>
      <c r="H13" s="32"/>
      <c r="I13" s="183"/>
      <c r="J13" s="183"/>
      <c r="K13" s="183"/>
      <c r="L13" s="33"/>
      <c r="M13" s="33"/>
      <c r="N13" s="33"/>
      <c r="O13" s="32"/>
      <c r="P13" s="32"/>
      <c r="Q13" s="183"/>
      <c r="R13" s="235"/>
    </row>
    <row r="14" ht="15.0" customHeight="1">
      <c r="A14" s="233">
        <v>1.3</v>
      </c>
      <c r="B14" s="232" t="s">
        <v>448</v>
      </c>
      <c r="C14" s="233">
        <v>100.0</v>
      </c>
      <c r="D14" s="183"/>
      <c r="E14" s="183"/>
      <c r="F14" s="183"/>
      <c r="G14" s="32"/>
      <c r="H14" s="32"/>
      <c r="I14" s="183"/>
      <c r="J14" s="183"/>
      <c r="K14" s="183"/>
      <c r="L14" s="33"/>
      <c r="M14" s="33"/>
      <c r="N14" s="33"/>
      <c r="O14" s="32"/>
      <c r="P14" s="32"/>
      <c r="Q14" s="183"/>
      <c r="R14" s="235"/>
    </row>
    <row r="15" ht="15.0" customHeight="1">
      <c r="A15" s="233">
        <v>2.0</v>
      </c>
      <c r="B15" s="232" t="s">
        <v>449</v>
      </c>
      <c r="C15" s="233">
        <v>100.0</v>
      </c>
      <c r="D15" s="183" t="s">
        <v>442</v>
      </c>
      <c r="E15" s="183" t="s">
        <v>443</v>
      </c>
      <c r="F15" s="183" t="s">
        <v>450</v>
      </c>
      <c r="G15" s="32"/>
      <c r="H15" s="32"/>
      <c r="I15" s="183" t="s">
        <v>443</v>
      </c>
      <c r="J15" s="183"/>
      <c r="K15" s="183"/>
      <c r="L15" s="33"/>
      <c r="M15" s="33"/>
      <c r="N15" s="33"/>
      <c r="O15" s="32"/>
      <c r="P15" s="32"/>
      <c r="Q15" s="183"/>
      <c r="R15" s="235"/>
    </row>
    <row r="16" ht="15.0" customHeight="1">
      <c r="A16" s="233">
        <v>3.0</v>
      </c>
      <c r="B16" s="232" t="s">
        <v>451</v>
      </c>
      <c r="C16" s="233">
        <v>5.0</v>
      </c>
      <c r="D16" s="183" t="s">
        <v>452</v>
      </c>
      <c r="E16" s="183" t="s">
        <v>443</v>
      </c>
      <c r="F16" s="183" t="s">
        <v>450</v>
      </c>
      <c r="G16" s="32"/>
      <c r="H16" s="32"/>
      <c r="I16" s="183" t="s">
        <v>443</v>
      </c>
      <c r="J16" s="183"/>
      <c r="K16" s="183"/>
      <c r="L16" s="33"/>
      <c r="M16" s="33"/>
      <c r="N16" s="33"/>
      <c r="O16" s="32"/>
      <c r="P16" s="32"/>
      <c r="Q16" s="183"/>
      <c r="R16" s="235"/>
    </row>
    <row r="17" ht="15.0" customHeight="1">
      <c r="A17" s="233">
        <v>4.0</v>
      </c>
      <c r="B17" s="232" t="s">
        <v>453</v>
      </c>
      <c r="C17" s="233">
        <v>6.0</v>
      </c>
      <c r="D17" s="183" t="s">
        <v>452</v>
      </c>
      <c r="E17" s="183" t="s">
        <v>443</v>
      </c>
      <c r="F17" s="183" t="s">
        <v>450</v>
      </c>
      <c r="G17" s="32"/>
      <c r="H17" s="32"/>
      <c r="I17" s="183" t="s">
        <v>443</v>
      </c>
      <c r="J17" s="183"/>
      <c r="K17" s="183"/>
      <c r="L17" s="33"/>
      <c r="M17" s="33"/>
      <c r="N17" s="33"/>
      <c r="O17" s="32"/>
      <c r="P17" s="32"/>
      <c r="Q17" s="183"/>
      <c r="R17" s="235"/>
    </row>
    <row r="18" ht="15.0" customHeight="1">
      <c r="A18" s="233">
        <v>5.0</v>
      </c>
      <c r="B18" s="232" t="s">
        <v>454</v>
      </c>
      <c r="C18" s="233">
        <v>40.0</v>
      </c>
      <c r="D18" s="183" t="s">
        <v>442</v>
      </c>
      <c r="E18" s="183" t="s">
        <v>443</v>
      </c>
      <c r="F18" s="183" t="s">
        <v>450</v>
      </c>
      <c r="G18" s="32"/>
      <c r="H18" s="32"/>
      <c r="I18" s="183" t="s">
        <v>443</v>
      </c>
      <c r="J18" s="183"/>
      <c r="K18" s="183"/>
      <c r="L18" s="33"/>
      <c r="M18" s="33"/>
      <c r="N18" s="33"/>
      <c r="O18" s="32"/>
      <c r="P18" s="32"/>
      <c r="Q18" s="183"/>
      <c r="R18" s="235"/>
    </row>
    <row r="19" ht="15.0" customHeight="1">
      <c r="A19" s="233">
        <v>6.0</v>
      </c>
      <c r="B19" s="232" t="s">
        <v>455</v>
      </c>
      <c r="C19" s="233">
        <v>38.0</v>
      </c>
      <c r="D19" s="183" t="s">
        <v>442</v>
      </c>
      <c r="E19" s="183" t="s">
        <v>443</v>
      </c>
      <c r="F19" s="183" t="s">
        <v>450</v>
      </c>
      <c r="G19" s="32"/>
      <c r="H19" s="32"/>
      <c r="I19" s="183" t="s">
        <v>443</v>
      </c>
      <c r="J19" s="183"/>
      <c r="K19" s="183"/>
      <c r="L19" s="33"/>
      <c r="M19" s="33"/>
      <c r="N19" s="33"/>
      <c r="O19" s="32"/>
      <c r="P19" s="32"/>
      <c r="Q19" s="183"/>
      <c r="R19" s="235"/>
    </row>
    <row r="20" ht="15.0" customHeight="1">
      <c r="A20" s="233">
        <v>7.0</v>
      </c>
      <c r="B20" s="232" t="s">
        <v>456</v>
      </c>
      <c r="C20" s="233">
        <v>300.0</v>
      </c>
      <c r="D20" s="183" t="s">
        <v>442</v>
      </c>
      <c r="E20" s="183" t="s">
        <v>443</v>
      </c>
      <c r="F20" s="183" t="s">
        <v>450</v>
      </c>
      <c r="G20" s="32"/>
      <c r="H20" s="32"/>
      <c r="I20" s="183" t="s">
        <v>443</v>
      </c>
      <c r="J20" s="183"/>
      <c r="K20" s="183"/>
      <c r="L20" s="33"/>
      <c r="M20" s="33"/>
      <c r="N20" s="33"/>
      <c r="O20" s="32"/>
      <c r="P20" s="32"/>
      <c r="Q20" s="183"/>
      <c r="R20" s="235"/>
    </row>
    <row r="21" ht="15.0" customHeight="1">
      <c r="A21" s="233">
        <v>8.0</v>
      </c>
      <c r="B21" s="232" t="s">
        <v>457</v>
      </c>
      <c r="C21" s="233">
        <v>51.0</v>
      </c>
      <c r="D21" s="183" t="s">
        <v>458</v>
      </c>
      <c r="E21" s="183" t="s">
        <v>443</v>
      </c>
      <c r="F21" s="183" t="s">
        <v>450</v>
      </c>
      <c r="G21" s="32"/>
      <c r="H21" s="32"/>
      <c r="I21" s="183" t="s">
        <v>443</v>
      </c>
      <c r="J21" s="183"/>
      <c r="K21" s="183"/>
      <c r="L21" s="33"/>
      <c r="M21" s="33"/>
      <c r="N21" s="33"/>
      <c r="O21" s="32"/>
      <c r="P21" s="32"/>
      <c r="Q21" s="183"/>
      <c r="R21" s="235"/>
    </row>
    <row r="22" ht="15.0" customHeight="1">
      <c r="A22" s="233">
        <v>9.0</v>
      </c>
      <c r="B22" s="232" t="s">
        <v>459</v>
      </c>
      <c r="C22" s="233">
        <v>90.0</v>
      </c>
      <c r="D22" s="183" t="s">
        <v>458</v>
      </c>
      <c r="E22" s="183" t="s">
        <v>443</v>
      </c>
      <c r="F22" s="183" t="s">
        <v>450</v>
      </c>
      <c r="G22" s="32"/>
      <c r="H22" s="32"/>
      <c r="I22" s="183" t="s">
        <v>443</v>
      </c>
      <c r="J22" s="183"/>
      <c r="K22" s="183"/>
      <c r="L22" s="33"/>
      <c r="M22" s="33"/>
      <c r="N22" s="33"/>
      <c r="O22" s="32"/>
      <c r="P22" s="32"/>
      <c r="Q22" s="183"/>
      <c r="R22" s="235"/>
    </row>
    <row r="23" ht="15.0" customHeight="1">
      <c r="A23" s="233">
        <v>10.0</v>
      </c>
      <c r="B23" s="232" t="s">
        <v>460</v>
      </c>
      <c r="C23" s="233">
        <v>40.0</v>
      </c>
      <c r="D23" s="183" t="s">
        <v>461</v>
      </c>
      <c r="E23" s="183" t="s">
        <v>443</v>
      </c>
      <c r="F23" s="183" t="s">
        <v>450</v>
      </c>
      <c r="G23" s="32"/>
      <c r="H23" s="32"/>
      <c r="I23" s="183" t="s">
        <v>443</v>
      </c>
      <c r="J23" s="183"/>
      <c r="K23" s="183"/>
      <c r="L23" s="33"/>
      <c r="M23" s="33"/>
      <c r="N23" s="33"/>
      <c r="O23" s="32"/>
      <c r="P23" s="32"/>
      <c r="Q23" s="183"/>
      <c r="R23" s="235"/>
    </row>
    <row r="24" ht="74.25" customHeight="1">
      <c r="A24" s="233">
        <v>11.0</v>
      </c>
      <c r="B24" s="224" t="s">
        <v>462</v>
      </c>
      <c r="C24" s="233">
        <v>105.0</v>
      </c>
      <c r="D24" s="183" t="s">
        <v>463</v>
      </c>
      <c r="E24" s="234">
        <v>45928.0</v>
      </c>
      <c r="F24" s="234">
        <v>45944.0</v>
      </c>
      <c r="G24" s="32" t="s">
        <v>412</v>
      </c>
      <c r="H24" s="32" t="s">
        <v>412</v>
      </c>
      <c r="I24" s="183" t="s">
        <v>443</v>
      </c>
      <c r="J24" s="183" t="s">
        <v>444</v>
      </c>
      <c r="K24" s="183"/>
      <c r="L24" s="33"/>
      <c r="M24" s="33"/>
      <c r="N24" s="33"/>
      <c r="O24" s="32"/>
      <c r="P24" s="32"/>
      <c r="Q24" s="183"/>
      <c r="R24" s="63" t="s">
        <v>464</v>
      </c>
    </row>
    <row r="25" ht="15.0" customHeight="1">
      <c r="A25" s="233">
        <v>12.0</v>
      </c>
      <c r="B25" s="232" t="s">
        <v>465</v>
      </c>
      <c r="C25" s="233">
        <v>25.0</v>
      </c>
      <c r="D25" s="183" t="s">
        <v>466</v>
      </c>
      <c r="E25" s="183" t="s">
        <v>443</v>
      </c>
      <c r="F25" s="183" t="s">
        <v>450</v>
      </c>
      <c r="G25" s="32"/>
      <c r="H25" s="32"/>
      <c r="I25" s="183"/>
      <c r="J25" s="183"/>
      <c r="K25" s="183"/>
      <c r="L25" s="33"/>
      <c r="M25" s="33"/>
      <c r="N25" s="33"/>
      <c r="O25" s="32"/>
      <c r="P25" s="32"/>
      <c r="Q25" s="183"/>
      <c r="R25" s="235"/>
    </row>
    <row r="26" ht="15.0" customHeight="1">
      <c r="A26" s="191"/>
      <c r="B26" s="191"/>
      <c r="C26" s="191"/>
      <c r="D26" s="31"/>
      <c r="E26" s="31"/>
      <c r="F26" s="31"/>
      <c r="G26" s="32"/>
      <c r="H26" s="32"/>
      <c r="I26" s="31"/>
      <c r="J26" s="31"/>
      <c r="K26" s="31"/>
      <c r="L26" s="33"/>
      <c r="M26" s="33"/>
      <c r="N26" s="33"/>
      <c r="O26" s="32"/>
      <c r="P26" s="32"/>
      <c r="Q26" s="31"/>
      <c r="R26" s="179"/>
    </row>
    <row r="27" ht="15.0" customHeight="1">
      <c r="A27" s="191"/>
      <c r="B27" s="191"/>
      <c r="C27" s="191"/>
      <c r="D27" s="31"/>
      <c r="E27" s="31"/>
      <c r="F27" s="31"/>
      <c r="G27" s="32"/>
      <c r="H27" s="32"/>
      <c r="I27" s="31"/>
      <c r="J27" s="31"/>
      <c r="K27" s="31"/>
      <c r="L27" s="33"/>
      <c r="M27" s="33"/>
      <c r="N27" s="33"/>
      <c r="O27" s="32"/>
      <c r="P27" s="32"/>
      <c r="Q27" s="31"/>
      <c r="R27" s="179"/>
    </row>
    <row r="28" ht="12.75" customHeight="1">
      <c r="A28" s="193"/>
      <c r="B28" s="194"/>
      <c r="C28" s="236"/>
      <c r="D28" s="195"/>
      <c r="E28" s="196"/>
      <c r="F28" s="196"/>
      <c r="G28" s="196"/>
      <c r="H28" s="196"/>
      <c r="I28" s="196"/>
      <c r="J28" s="50"/>
      <c r="K28" s="197"/>
      <c r="L28" s="198"/>
      <c r="M28" s="198"/>
      <c r="N28" s="198"/>
      <c r="O28" s="196"/>
      <c r="P28" s="196"/>
      <c r="Q28" s="51"/>
      <c r="R28" s="197"/>
    </row>
    <row r="29" ht="12.75" customHeight="1">
      <c r="A29" s="193"/>
      <c r="B29" s="194"/>
      <c r="C29" s="236"/>
      <c r="D29" s="195"/>
      <c r="E29" s="196"/>
      <c r="F29" s="196"/>
      <c r="G29" s="196"/>
      <c r="H29" s="196"/>
      <c r="I29" s="196"/>
      <c r="J29" s="50"/>
      <c r="K29" s="197"/>
      <c r="L29" s="198"/>
      <c r="M29" s="198"/>
      <c r="N29" s="198"/>
      <c r="O29" s="196"/>
      <c r="P29" s="196"/>
      <c r="Q29" s="51"/>
      <c r="R29" s="197"/>
    </row>
    <row r="30" ht="12.75" customHeight="1">
      <c r="A30" s="193"/>
      <c r="B30" s="194"/>
      <c r="C30" s="236"/>
      <c r="D30" s="195"/>
      <c r="E30" s="196"/>
      <c r="F30" s="196"/>
      <c r="G30" s="196"/>
      <c r="H30" s="196"/>
      <c r="I30" s="196"/>
      <c r="J30" s="50"/>
      <c r="K30" s="197"/>
      <c r="L30" s="198"/>
      <c r="M30" s="198"/>
      <c r="N30" s="198"/>
      <c r="O30" s="196"/>
      <c r="P30" s="196"/>
      <c r="Q30" s="51"/>
      <c r="R30" s="197"/>
    </row>
    <row r="31" ht="12.75" customHeight="1">
      <c r="A31" s="193"/>
      <c r="B31" s="194"/>
      <c r="C31" s="236"/>
      <c r="D31" s="195"/>
      <c r="E31" s="196"/>
      <c r="F31" s="196"/>
      <c r="G31" s="196"/>
      <c r="H31" s="196"/>
      <c r="I31" s="196"/>
      <c r="J31" s="50"/>
      <c r="K31" s="197"/>
      <c r="L31" s="198"/>
      <c r="M31" s="198"/>
      <c r="N31" s="198"/>
      <c r="O31" s="196"/>
      <c r="P31" s="196"/>
      <c r="Q31" s="51"/>
      <c r="R31" s="197"/>
    </row>
    <row r="32" ht="12.75" customHeight="1">
      <c r="A32" s="193"/>
      <c r="B32" s="59"/>
      <c r="C32" s="236"/>
      <c r="D32" s="195"/>
      <c r="E32" s="196"/>
      <c r="F32" s="196"/>
      <c r="G32" s="196"/>
      <c r="H32" s="196"/>
      <c r="I32" s="196"/>
      <c r="J32" s="50"/>
      <c r="K32" s="197"/>
      <c r="L32" s="198"/>
      <c r="M32" s="198"/>
      <c r="N32" s="198"/>
      <c r="O32" s="196"/>
      <c r="P32" s="196"/>
      <c r="Q32" s="51"/>
      <c r="R32" s="197"/>
    </row>
    <row r="33" ht="13.5" customHeight="1">
      <c r="L33" s="201"/>
      <c r="M33" s="201"/>
      <c r="N33" s="201"/>
      <c r="Q33" s="202"/>
    </row>
    <row r="34" ht="15.75" customHeight="1">
      <c r="B34" s="204" t="s">
        <v>432</v>
      </c>
      <c r="C34" s="227"/>
      <c r="L34" s="201"/>
      <c r="M34" s="201"/>
      <c r="N34" s="201"/>
      <c r="Q34" s="202"/>
    </row>
    <row r="35" ht="12.75" customHeight="1">
      <c r="B35" s="206" t="s">
        <v>68</v>
      </c>
      <c r="C35" s="228">
        <f t="shared" ref="C35:C40" si="1">SUMIF($J$28:$J$32,B35,$C$28:$C$32)</f>
        <v>0</v>
      </c>
      <c r="F35" s="208"/>
      <c r="L35" s="201"/>
      <c r="M35" s="201"/>
      <c r="N35" s="201"/>
      <c r="Q35" s="202"/>
    </row>
    <row r="36" ht="12.75" customHeight="1">
      <c r="B36" s="209" t="s">
        <v>29</v>
      </c>
      <c r="C36" s="229">
        <f t="shared" si="1"/>
        <v>0</v>
      </c>
      <c r="F36" s="208"/>
      <c r="L36" s="201"/>
      <c r="M36" s="201"/>
      <c r="N36" s="201"/>
      <c r="Q36" s="202"/>
    </row>
    <row r="37" ht="12.75" customHeight="1">
      <c r="B37" s="209" t="s">
        <v>108</v>
      </c>
      <c r="C37" s="229">
        <f t="shared" si="1"/>
        <v>0</v>
      </c>
      <c r="F37" s="208"/>
      <c r="L37" s="201"/>
      <c r="M37" s="201"/>
      <c r="N37" s="201"/>
      <c r="Q37" s="202"/>
    </row>
    <row r="38" ht="15.75" customHeight="1">
      <c r="B38" s="209" t="s">
        <v>40</v>
      </c>
      <c r="C38" s="229">
        <f t="shared" si="1"/>
        <v>0</v>
      </c>
      <c r="F38" s="208"/>
      <c r="K38" s="211"/>
      <c r="L38" s="201"/>
      <c r="M38" s="201"/>
      <c r="N38" s="201"/>
      <c r="Q38" s="202"/>
    </row>
    <row r="39" ht="12.75" customHeight="1">
      <c r="B39" s="209" t="s">
        <v>49</v>
      </c>
      <c r="C39" s="229">
        <f t="shared" si="1"/>
        <v>0</v>
      </c>
      <c r="F39" s="208"/>
      <c r="L39" s="201"/>
      <c r="M39" s="201"/>
      <c r="N39" s="201"/>
      <c r="Q39" s="202"/>
    </row>
    <row r="40" ht="12.75" customHeight="1">
      <c r="B40" s="209" t="s">
        <v>60</v>
      </c>
      <c r="C40" s="229">
        <f t="shared" si="1"/>
        <v>0</v>
      </c>
      <c r="F40" s="208"/>
      <c r="L40" s="201"/>
      <c r="M40" s="201"/>
      <c r="N40" s="201"/>
      <c r="Q40" s="202"/>
    </row>
    <row r="41" ht="13.5" customHeight="1">
      <c r="B41" s="212"/>
      <c r="C41" s="230"/>
      <c r="F41" s="208"/>
      <c r="L41" s="201"/>
      <c r="M41" s="201"/>
      <c r="N41" s="201"/>
      <c r="Q41" s="202"/>
    </row>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D1:D4"/>
    <mergeCell ref="E2:E3"/>
    <mergeCell ref="F2:F3"/>
    <mergeCell ref="G2:H2"/>
    <mergeCell ref="J1:J4"/>
    <mergeCell ref="K2:K4"/>
    <mergeCell ref="R1:R4"/>
    <mergeCell ref="Q2:Q4"/>
    <mergeCell ref="L3:M4"/>
    <mergeCell ref="O3:P4"/>
    <mergeCell ref="A1:A4"/>
    <mergeCell ref="B1:B4"/>
    <mergeCell ref="C1:C4"/>
    <mergeCell ref="E1:I1"/>
    <mergeCell ref="K1:Q1"/>
    <mergeCell ref="I2:I3"/>
    <mergeCell ref="N2:N4"/>
    <mergeCell ref="E4:I4"/>
  </mergeCells>
  <dataValidations>
    <dataValidation type="list" allowBlank="1" showInputMessage="1" showErrorMessage="1" prompt=" - " sqref="D31:D32">
      <formula1>"Open Tender,Quotation,Restrictive,Sole Source,Comm. Participation,Nil"</formula1>
    </dataValidation>
    <dataValidation type="list" allowBlank="1" showInputMessage="1" showErrorMessage="1" prompt=" - " sqref="D28:D30">
      <formula1>"OT,RT,RFQ,SS,CP"</formula1>
    </dataValidation>
    <dataValidation type="list" allowBlank="1" showInputMessage="1" showErrorMessage="1" prompt=" - " sqref="J28:J30">
      <formula1>"Rollover,Design,Advertised,Evaluation,Awaiting Award,Award"</formula1>
    </dataValidation>
    <dataValidation type="list" allowBlank="1" showInputMessage="1" showErrorMessage="1" prompt=" - " sqref="J31:J32">
      <formula1>"Rollover,Design,Advertised,Evaluation,Awaiting Award,Award,No Action,Other"</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59.38"/>
    <col customWidth="1" min="3" max="4" width="8.0"/>
    <col customWidth="1" min="5" max="5" width="14.38"/>
    <col customWidth="1" min="6" max="6" width="13.0"/>
    <col customWidth="1" min="7" max="8" width="8.0"/>
    <col customWidth="1" min="9" max="9" width="11.63"/>
    <col customWidth="1" min="10" max="10" width="10.88"/>
    <col customWidth="1" min="11" max="11" width="75.63"/>
    <col customWidth="1" min="12" max="12" width="16.13"/>
    <col customWidth="1" min="13" max="13" width="10.88"/>
    <col customWidth="1" min="14" max="14" width="8.0"/>
    <col customWidth="1" min="15" max="15" width="13.0"/>
    <col customWidth="1" min="16" max="16" width="15.75"/>
    <col customWidth="1" min="17" max="17" width="8.0"/>
    <col customWidth="1" min="18" max="18" width="50.0"/>
    <col customWidth="1" min="19" max="26" width="8.0"/>
  </cols>
  <sheetData>
    <row r="1" ht="12.75" customHeight="1">
      <c r="A1" s="237" t="s">
        <v>0</v>
      </c>
      <c r="B1" s="237" t="s">
        <v>1</v>
      </c>
      <c r="C1" s="238" t="s">
        <v>2</v>
      </c>
      <c r="D1" s="239" t="s">
        <v>467</v>
      </c>
      <c r="E1" s="240" t="s">
        <v>4</v>
      </c>
      <c r="F1" s="5"/>
      <c r="G1" s="5"/>
      <c r="H1" s="5"/>
      <c r="I1" s="6"/>
      <c r="J1" s="241" t="s">
        <v>5</v>
      </c>
      <c r="K1" s="242" t="s">
        <v>6</v>
      </c>
      <c r="L1" s="5"/>
      <c r="M1" s="5"/>
      <c r="N1" s="5"/>
      <c r="O1" s="5"/>
      <c r="P1" s="5"/>
      <c r="Q1" s="6"/>
      <c r="R1" s="243" t="s">
        <v>7</v>
      </c>
    </row>
    <row r="2" ht="12.75" customHeight="1">
      <c r="A2" s="9"/>
      <c r="B2" s="9"/>
      <c r="C2" s="9"/>
      <c r="D2" s="9"/>
      <c r="E2" s="244" t="s">
        <v>8</v>
      </c>
      <c r="F2" s="244" t="s">
        <v>9</v>
      </c>
      <c r="G2" s="240" t="s">
        <v>10</v>
      </c>
      <c r="H2" s="6"/>
      <c r="I2" s="244" t="s">
        <v>11</v>
      </c>
      <c r="J2" s="9"/>
      <c r="K2" s="245" t="s">
        <v>12</v>
      </c>
      <c r="L2" s="246" t="s">
        <v>13</v>
      </c>
      <c r="M2" s="246" t="s">
        <v>14</v>
      </c>
      <c r="N2" s="245" t="s">
        <v>468</v>
      </c>
      <c r="O2" s="246" t="s">
        <v>16</v>
      </c>
      <c r="P2" s="246" t="s">
        <v>17</v>
      </c>
      <c r="Q2" s="245" t="s">
        <v>469</v>
      </c>
      <c r="R2" s="9"/>
    </row>
    <row r="3" ht="12.75" customHeight="1">
      <c r="A3" s="9"/>
      <c r="B3" s="9"/>
      <c r="C3" s="9"/>
      <c r="D3" s="9"/>
      <c r="E3" s="15"/>
      <c r="F3" s="15"/>
      <c r="G3" s="247" t="s">
        <v>19</v>
      </c>
      <c r="H3" s="247" t="s">
        <v>20</v>
      </c>
      <c r="I3" s="15"/>
      <c r="J3" s="9"/>
      <c r="K3" s="9"/>
      <c r="L3" s="248" t="s">
        <v>21</v>
      </c>
      <c r="M3" s="18"/>
      <c r="N3" s="9"/>
      <c r="O3" s="248" t="s">
        <v>470</v>
      </c>
      <c r="P3" s="18"/>
      <c r="Q3" s="9"/>
      <c r="R3" s="9"/>
    </row>
    <row r="4" ht="12.75" customHeight="1">
      <c r="A4" s="15"/>
      <c r="B4" s="15"/>
      <c r="C4" s="15"/>
      <c r="D4" s="15"/>
      <c r="E4" s="249" t="s">
        <v>23</v>
      </c>
      <c r="F4" s="5"/>
      <c r="G4" s="5"/>
      <c r="H4" s="5"/>
      <c r="I4" s="6"/>
      <c r="J4" s="15"/>
      <c r="K4" s="15"/>
      <c r="L4" s="21"/>
      <c r="M4" s="22"/>
      <c r="N4" s="15"/>
      <c r="O4" s="21"/>
      <c r="P4" s="22"/>
      <c r="Q4" s="15"/>
      <c r="R4" s="15"/>
    </row>
    <row r="5" ht="12.75" customHeight="1">
      <c r="A5" s="250" t="s">
        <v>471</v>
      </c>
      <c r="B5" s="250" t="s">
        <v>472</v>
      </c>
      <c r="C5" s="251"/>
      <c r="D5" s="252"/>
      <c r="E5" s="252"/>
      <c r="F5" s="252"/>
      <c r="G5" s="253"/>
      <c r="H5" s="253"/>
      <c r="I5" s="252"/>
      <c r="J5" s="254"/>
      <c r="K5" s="254"/>
      <c r="L5" s="255"/>
      <c r="M5" s="255"/>
      <c r="N5" s="255"/>
      <c r="O5" s="255"/>
      <c r="P5" s="255"/>
      <c r="Q5" s="254"/>
      <c r="R5" s="256"/>
    </row>
    <row r="6" ht="12.75" customHeight="1">
      <c r="A6" s="257"/>
      <c r="B6" s="257"/>
      <c r="C6" s="258"/>
      <c r="D6" s="259"/>
      <c r="E6" s="259"/>
      <c r="F6" s="259"/>
      <c r="G6" s="260"/>
      <c r="H6" s="260"/>
      <c r="I6" s="259"/>
      <c r="J6" s="261"/>
      <c r="K6" s="261"/>
      <c r="L6" s="262"/>
      <c r="M6" s="262"/>
      <c r="N6" s="262"/>
      <c r="O6" s="262"/>
      <c r="P6" s="262"/>
      <c r="Q6" s="261"/>
      <c r="R6" s="258"/>
    </row>
    <row r="7" ht="12.75" customHeight="1">
      <c r="A7" s="263" t="s">
        <v>473</v>
      </c>
      <c r="B7" s="263" t="s">
        <v>474</v>
      </c>
      <c r="C7" s="264"/>
      <c r="D7" s="265"/>
      <c r="E7" s="265"/>
      <c r="F7" s="265"/>
      <c r="G7" s="266"/>
      <c r="H7" s="266"/>
      <c r="I7" s="265"/>
      <c r="J7" s="267"/>
      <c r="K7" s="267"/>
      <c r="L7" s="268"/>
      <c r="M7" s="268"/>
      <c r="N7" s="268"/>
      <c r="O7" s="268"/>
      <c r="P7" s="268"/>
      <c r="Q7" s="267"/>
      <c r="R7" s="264"/>
    </row>
    <row r="8" ht="12.75" customHeight="1">
      <c r="A8" s="257"/>
      <c r="B8" s="257"/>
      <c r="C8" s="258"/>
      <c r="D8" s="259"/>
      <c r="E8" s="259"/>
      <c r="F8" s="259"/>
      <c r="G8" s="260"/>
      <c r="H8" s="260"/>
      <c r="I8" s="259"/>
      <c r="J8" s="261"/>
      <c r="K8" s="261"/>
      <c r="L8" s="262"/>
      <c r="M8" s="262"/>
      <c r="N8" s="262"/>
      <c r="O8" s="262"/>
      <c r="P8" s="262"/>
      <c r="Q8" s="261"/>
      <c r="R8" s="258"/>
    </row>
    <row r="9" ht="12.75" customHeight="1">
      <c r="A9" s="269"/>
      <c r="B9" s="270" t="s">
        <v>475</v>
      </c>
      <c r="C9" s="269"/>
      <c r="D9" s="271"/>
      <c r="E9" s="271"/>
      <c r="F9" s="271"/>
      <c r="G9" s="272"/>
      <c r="H9" s="272"/>
      <c r="I9" s="271"/>
      <c r="J9" s="273"/>
      <c r="K9" s="274"/>
      <c r="L9" s="275"/>
      <c r="M9" s="275"/>
      <c r="N9" s="275"/>
      <c r="O9" s="275"/>
      <c r="P9" s="275"/>
      <c r="Q9" s="274"/>
      <c r="R9" s="269"/>
    </row>
    <row r="10" ht="12.75" customHeight="1">
      <c r="A10" s="258"/>
      <c r="B10" s="276" t="s">
        <v>476</v>
      </c>
      <c r="C10" s="277">
        <v>441.0</v>
      </c>
      <c r="D10" s="278" t="s">
        <v>442</v>
      </c>
      <c r="E10" s="278" t="s">
        <v>204</v>
      </c>
      <c r="F10" s="278" t="s">
        <v>204</v>
      </c>
      <c r="G10" s="260"/>
      <c r="H10" s="260"/>
      <c r="I10" s="278" t="s">
        <v>204</v>
      </c>
      <c r="J10" s="279" t="s">
        <v>60</v>
      </c>
      <c r="K10" s="280" t="s">
        <v>477</v>
      </c>
      <c r="L10" s="281">
        <v>1486.448</v>
      </c>
      <c r="M10" s="282">
        <v>887.447</v>
      </c>
      <c r="N10" s="283">
        <v>18.0</v>
      </c>
      <c r="O10" s="284">
        <v>45974.0</v>
      </c>
      <c r="P10" s="284">
        <v>46186.0</v>
      </c>
      <c r="Q10" s="285">
        <v>60.0</v>
      </c>
      <c r="R10" s="286" t="s">
        <v>478</v>
      </c>
    </row>
    <row r="11" ht="12.75" customHeight="1">
      <c r="A11" s="258"/>
      <c r="B11" s="287" t="s">
        <v>465</v>
      </c>
      <c r="C11" s="277">
        <v>46.0</v>
      </c>
      <c r="D11" s="278" t="s">
        <v>466</v>
      </c>
      <c r="E11" s="278" t="s">
        <v>204</v>
      </c>
      <c r="F11" s="278" t="s">
        <v>204</v>
      </c>
      <c r="G11" s="260"/>
      <c r="H11" s="260"/>
      <c r="I11" s="278" t="s">
        <v>204</v>
      </c>
      <c r="J11" s="279" t="s">
        <v>60</v>
      </c>
      <c r="K11" s="288" t="s">
        <v>479</v>
      </c>
      <c r="L11" s="283">
        <v>32.55</v>
      </c>
      <c r="M11" s="283" t="s">
        <v>412</v>
      </c>
      <c r="N11" s="283">
        <v>21.0</v>
      </c>
      <c r="O11" s="262"/>
      <c r="P11" s="262"/>
      <c r="Q11" s="285">
        <v>0.0</v>
      </c>
      <c r="R11" s="289" t="s">
        <v>480</v>
      </c>
    </row>
    <row r="12" ht="12.75" customHeight="1">
      <c r="A12" s="269"/>
      <c r="B12" s="290" t="s">
        <v>481</v>
      </c>
      <c r="C12" s="291"/>
      <c r="D12" s="271"/>
      <c r="E12" s="271"/>
      <c r="F12" s="271"/>
      <c r="G12" s="272"/>
      <c r="H12" s="272"/>
      <c r="I12" s="271"/>
      <c r="J12" s="273"/>
      <c r="K12" s="292"/>
      <c r="L12" s="275"/>
      <c r="M12" s="275"/>
      <c r="N12" s="275"/>
      <c r="O12" s="275"/>
      <c r="P12" s="275"/>
      <c r="Q12" s="274"/>
      <c r="R12" s="293"/>
    </row>
    <row r="13" ht="12.75" customHeight="1">
      <c r="A13" s="258"/>
      <c r="B13" s="276" t="s">
        <v>482</v>
      </c>
      <c r="C13" s="277">
        <v>912.0</v>
      </c>
      <c r="D13" s="278" t="s">
        <v>442</v>
      </c>
      <c r="E13" s="278" t="s">
        <v>204</v>
      </c>
      <c r="F13" s="278" t="s">
        <v>204</v>
      </c>
      <c r="G13" s="260"/>
      <c r="H13" s="260"/>
      <c r="I13" s="278" t="s">
        <v>204</v>
      </c>
      <c r="J13" s="279" t="s">
        <v>60</v>
      </c>
      <c r="K13" s="280" t="s">
        <v>483</v>
      </c>
      <c r="L13" s="281">
        <v>2767.967</v>
      </c>
      <c r="M13" s="294">
        <v>1595.43</v>
      </c>
      <c r="N13" s="283">
        <v>18.0</v>
      </c>
      <c r="O13" s="284">
        <v>45974.0</v>
      </c>
      <c r="P13" s="284">
        <v>46186.0</v>
      </c>
      <c r="Q13" s="285">
        <v>46.0</v>
      </c>
      <c r="R13" s="286" t="s">
        <v>478</v>
      </c>
    </row>
    <row r="14" ht="12.75" customHeight="1">
      <c r="A14" s="258"/>
      <c r="B14" s="276" t="s">
        <v>484</v>
      </c>
      <c r="C14" s="277">
        <v>834.0</v>
      </c>
      <c r="D14" s="295"/>
      <c r="E14" s="295"/>
      <c r="F14" s="295"/>
      <c r="G14" s="260"/>
      <c r="H14" s="260"/>
      <c r="I14" s="295"/>
      <c r="J14" s="296"/>
      <c r="K14" s="297"/>
      <c r="L14" s="262"/>
      <c r="M14" s="262"/>
      <c r="N14" s="262"/>
      <c r="O14" s="262"/>
      <c r="P14" s="262"/>
      <c r="Q14" s="261"/>
      <c r="R14" s="257"/>
    </row>
    <row r="15" ht="12.75" customHeight="1">
      <c r="A15" s="258"/>
      <c r="B15" s="298" t="s">
        <v>485</v>
      </c>
      <c r="C15" s="299">
        <v>834.0</v>
      </c>
      <c r="D15" s="278" t="s">
        <v>442</v>
      </c>
      <c r="E15" s="278" t="s">
        <v>204</v>
      </c>
      <c r="F15" s="278" t="s">
        <v>204</v>
      </c>
      <c r="G15" s="260"/>
      <c r="H15" s="260"/>
      <c r="I15" s="278" t="s">
        <v>204</v>
      </c>
      <c r="J15" s="279" t="s">
        <v>60</v>
      </c>
      <c r="K15" s="288" t="s">
        <v>486</v>
      </c>
      <c r="L15" s="283">
        <v>371.519</v>
      </c>
      <c r="M15" s="300">
        <v>92.88</v>
      </c>
      <c r="N15" s="283">
        <v>6.0</v>
      </c>
      <c r="O15" s="284">
        <v>46100.0</v>
      </c>
      <c r="P15" s="284">
        <v>46284.0</v>
      </c>
      <c r="Q15" s="285">
        <v>0.0</v>
      </c>
      <c r="R15" s="286" t="s">
        <v>487</v>
      </c>
    </row>
    <row r="16" ht="12.75" customHeight="1">
      <c r="A16" s="301" t="s">
        <v>488</v>
      </c>
      <c r="B16" s="298" t="s">
        <v>489</v>
      </c>
      <c r="C16" s="15"/>
      <c r="D16" s="278" t="s">
        <v>442</v>
      </c>
      <c r="E16" s="278" t="s">
        <v>204</v>
      </c>
      <c r="F16" s="278" t="s">
        <v>204</v>
      </c>
      <c r="G16" s="260"/>
      <c r="H16" s="260"/>
      <c r="I16" s="278" t="s">
        <v>204</v>
      </c>
      <c r="J16" s="279" t="s">
        <v>60</v>
      </c>
      <c r="K16" s="288" t="s">
        <v>490</v>
      </c>
      <c r="L16" s="283">
        <v>569.088</v>
      </c>
      <c r="M16" s="262"/>
      <c r="N16" s="283">
        <v>6.0</v>
      </c>
      <c r="O16" s="262"/>
      <c r="P16" s="262"/>
      <c r="Q16" s="285">
        <v>0.0</v>
      </c>
      <c r="R16" s="286" t="s">
        <v>491</v>
      </c>
    </row>
    <row r="17" ht="12.75" customHeight="1">
      <c r="A17" s="258"/>
      <c r="B17" s="298" t="s">
        <v>492</v>
      </c>
      <c r="C17" s="302">
        <v>2519.0</v>
      </c>
      <c r="D17" s="278" t="s">
        <v>442</v>
      </c>
      <c r="E17" s="278" t="s">
        <v>450</v>
      </c>
      <c r="F17" s="278" t="s">
        <v>450</v>
      </c>
      <c r="G17" s="260"/>
      <c r="H17" s="260"/>
      <c r="I17" s="278" t="s">
        <v>450</v>
      </c>
      <c r="J17" s="279" t="s">
        <v>450</v>
      </c>
      <c r="K17" s="297"/>
      <c r="L17" s="262"/>
      <c r="M17" s="262"/>
      <c r="N17" s="262"/>
      <c r="O17" s="262"/>
      <c r="P17" s="262"/>
      <c r="Q17" s="261"/>
      <c r="R17" s="286" t="s">
        <v>493</v>
      </c>
    </row>
    <row r="18" ht="12.75" customHeight="1">
      <c r="A18" s="258"/>
      <c r="B18" s="298" t="s">
        <v>494</v>
      </c>
      <c r="C18" s="277">
        <v>400.0</v>
      </c>
      <c r="D18" s="278" t="s">
        <v>463</v>
      </c>
      <c r="E18" s="278" t="s">
        <v>204</v>
      </c>
      <c r="F18" s="278" t="s">
        <v>204</v>
      </c>
      <c r="G18" s="260"/>
      <c r="H18" s="260"/>
      <c r="I18" s="278" t="s">
        <v>204</v>
      </c>
      <c r="J18" s="279" t="s">
        <v>204</v>
      </c>
      <c r="K18" s="288" t="s">
        <v>495</v>
      </c>
      <c r="L18" s="283">
        <v>874.45</v>
      </c>
      <c r="M18" s="300">
        <v>418.03</v>
      </c>
      <c r="N18" s="283">
        <v>26.0</v>
      </c>
      <c r="O18" s="284">
        <v>45632.0</v>
      </c>
      <c r="P18" s="284">
        <v>46452.0</v>
      </c>
      <c r="Q18" s="285">
        <v>54.0</v>
      </c>
      <c r="R18" s="286" t="s">
        <v>478</v>
      </c>
    </row>
    <row r="19" ht="12.75" customHeight="1">
      <c r="A19" s="258"/>
      <c r="B19" s="303" t="s">
        <v>496</v>
      </c>
      <c r="C19" s="277">
        <v>20.0</v>
      </c>
      <c r="D19" s="278" t="s">
        <v>463</v>
      </c>
      <c r="E19" s="278" t="s">
        <v>450</v>
      </c>
      <c r="F19" s="278" t="s">
        <v>450</v>
      </c>
      <c r="G19" s="260"/>
      <c r="H19" s="260"/>
      <c r="I19" s="278" t="s">
        <v>450</v>
      </c>
      <c r="J19" s="279" t="s">
        <v>450</v>
      </c>
      <c r="K19" s="297"/>
      <c r="L19" s="262"/>
      <c r="M19" s="262"/>
      <c r="N19" s="262"/>
      <c r="O19" s="262"/>
      <c r="P19" s="262"/>
      <c r="Q19" s="261"/>
      <c r="R19" s="258"/>
    </row>
    <row r="20" ht="12.75" customHeight="1">
      <c r="A20" s="258"/>
      <c r="B20" s="304" t="s">
        <v>497</v>
      </c>
      <c r="C20" s="277">
        <v>49.0</v>
      </c>
      <c r="D20" s="278" t="s">
        <v>498</v>
      </c>
      <c r="E20" s="278" t="s">
        <v>450</v>
      </c>
      <c r="F20" s="278" t="s">
        <v>450</v>
      </c>
      <c r="G20" s="260"/>
      <c r="H20" s="260"/>
      <c r="I20" s="278" t="s">
        <v>450</v>
      </c>
      <c r="J20" s="279" t="s">
        <v>450</v>
      </c>
      <c r="K20" s="297"/>
      <c r="L20" s="262"/>
      <c r="M20" s="262"/>
      <c r="N20" s="262"/>
      <c r="O20" s="262"/>
      <c r="P20" s="262"/>
      <c r="Q20" s="261"/>
      <c r="R20" s="258"/>
    </row>
    <row r="21" ht="12.75" customHeight="1">
      <c r="A21" s="258"/>
      <c r="B21" s="276" t="s">
        <v>499</v>
      </c>
      <c r="C21" s="277">
        <v>162.0</v>
      </c>
      <c r="D21" s="278" t="s">
        <v>498</v>
      </c>
      <c r="E21" s="278" t="s">
        <v>450</v>
      </c>
      <c r="F21" s="278" t="s">
        <v>450</v>
      </c>
      <c r="G21" s="260"/>
      <c r="H21" s="260"/>
      <c r="I21" s="278" t="s">
        <v>450</v>
      </c>
      <c r="J21" s="279" t="s">
        <v>450</v>
      </c>
      <c r="K21" s="297"/>
      <c r="L21" s="262"/>
      <c r="M21" s="262"/>
      <c r="N21" s="262"/>
      <c r="O21" s="262"/>
      <c r="P21" s="262"/>
      <c r="Q21" s="261"/>
      <c r="R21" s="258"/>
    </row>
    <row r="22" ht="12.75" customHeight="1">
      <c r="A22" s="258"/>
      <c r="B22" s="276" t="s">
        <v>465</v>
      </c>
      <c r="C22" s="277">
        <v>25.0</v>
      </c>
      <c r="D22" s="278" t="s">
        <v>466</v>
      </c>
      <c r="E22" s="278" t="s">
        <v>450</v>
      </c>
      <c r="F22" s="278" t="s">
        <v>450</v>
      </c>
      <c r="G22" s="260"/>
      <c r="H22" s="260"/>
      <c r="I22" s="278" t="s">
        <v>450</v>
      </c>
      <c r="J22" s="279" t="s">
        <v>450</v>
      </c>
      <c r="K22" s="297"/>
      <c r="L22" s="262"/>
      <c r="M22" s="262"/>
      <c r="N22" s="262"/>
      <c r="O22" s="262"/>
      <c r="P22" s="262"/>
      <c r="Q22" s="261"/>
      <c r="R22" s="258"/>
    </row>
    <row r="23" ht="12.75" customHeight="1">
      <c r="A23" s="258"/>
      <c r="B23" s="304" t="s">
        <v>500</v>
      </c>
      <c r="C23" s="277">
        <v>79.0</v>
      </c>
      <c r="D23" s="278" t="s">
        <v>498</v>
      </c>
      <c r="E23" s="278" t="s">
        <v>450</v>
      </c>
      <c r="F23" s="278" t="s">
        <v>450</v>
      </c>
      <c r="G23" s="260"/>
      <c r="H23" s="260"/>
      <c r="I23" s="278" t="s">
        <v>450</v>
      </c>
      <c r="J23" s="279" t="s">
        <v>450</v>
      </c>
      <c r="K23" s="297"/>
      <c r="L23" s="262"/>
      <c r="M23" s="262"/>
      <c r="N23" s="262"/>
      <c r="O23" s="262"/>
      <c r="P23" s="262"/>
      <c r="Q23" s="261"/>
      <c r="R23" s="258"/>
    </row>
    <row r="24" ht="12.75" customHeight="1">
      <c r="A24" s="305"/>
      <c r="B24" s="306"/>
      <c r="C24" s="307"/>
      <c r="D24" s="308"/>
      <c r="E24" s="308"/>
      <c r="F24" s="308"/>
      <c r="G24" s="309"/>
      <c r="H24" s="309"/>
      <c r="I24" s="308"/>
      <c r="J24" s="310"/>
      <c r="K24" s="311"/>
      <c r="L24" s="312">
        <v>6102.022</v>
      </c>
      <c r="M24" s="312">
        <v>2993.787</v>
      </c>
      <c r="N24" s="313"/>
      <c r="O24" s="313"/>
      <c r="P24" s="313"/>
      <c r="Q24" s="314"/>
      <c r="R24" s="305"/>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9">
    <mergeCell ref="D1:D4"/>
    <mergeCell ref="E2:E3"/>
    <mergeCell ref="C15:C16"/>
    <mergeCell ref="F2:F3"/>
    <mergeCell ref="G2:H2"/>
    <mergeCell ref="J1:J4"/>
    <mergeCell ref="K2:K4"/>
    <mergeCell ref="R1:R4"/>
    <mergeCell ref="Q2:Q4"/>
    <mergeCell ref="L3:M4"/>
    <mergeCell ref="O3:P4"/>
    <mergeCell ref="A1:A4"/>
    <mergeCell ref="B1:B4"/>
    <mergeCell ref="C1:C4"/>
    <mergeCell ref="E1:I1"/>
    <mergeCell ref="K1:Q1"/>
    <mergeCell ref="I2:I3"/>
    <mergeCell ref="N2:N4"/>
    <mergeCell ref="E4:I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2009-02-13T13:24:22Z</dcterms:created>
  <dc:creator>TBlair</dc:creator>
</cp:coreProperties>
</file>